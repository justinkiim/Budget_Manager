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worksheets/sheet9.xml" ContentType="application/vnd.openxmlformats-officedocument.spreadsheetml.worksheet+xml"/>
  <Override PartName="/xl/drawings/drawing4.xml" ContentType="application/vnd.openxmlformats-officedocument.drawing+xml"/>
  <Override PartName="/xl/tables/table6.xml" ContentType="application/vnd.openxmlformats-officedocument.spreadsheetml.table+xml"/>
  <Override PartName="/xl/worksheets/sheet10.xml" ContentType="application/vnd.openxmlformats-officedocument.spreadsheetml.worksheet+xml"/>
  <Override PartName="/xl/drawings/drawing5.xml" ContentType="application/vnd.openxmlformats-officedocument.drawing+xml"/>
  <Override PartName="/xl/tables/table7.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4200" windowHeight="19800" tabRatio="600" firstSheet="0" activeTab="0" autoFilterDateGrouping="1"/>
  </bookViews>
  <sheets>
    <sheet name="Settings" sheetId="1" state="visible" r:id="rId1"/>
    <sheet name="Budget Planning" sheetId="2" state="visible" r:id="rId2"/>
    <sheet name="Budget Tracking" sheetId="3" state="visible" r:id="rId3"/>
    <sheet name="Budget Dashboard" sheetId="4" state="visible" r:id="rId4"/>
    <sheet name="Calculation" sheetId="5" state="visible" r:id="rId5"/>
    <sheet name="Dropdown Data" sheetId="6" state="visible" r:id="rId6"/>
    <sheet name="Cross Border" sheetId="7" state="visible" r:id="rId7"/>
    <sheet name="Transactions" sheetId="8" state="visible" r:id="rId8"/>
    <sheet name="Subscriptions" sheetId="9" state="visible" r:id="rId9"/>
    <sheet name="Portfolio" sheetId="10" state="visible" r:id="rId10"/>
  </sheets>
  <definedNames>
    <definedName name="budget">'Budget Dashboard'!$L1</definedName>
    <definedName name="current_date"> TODAY()</definedName>
    <definedName name="expenses_header_row"> ROW(expenses[[#Headers],[Expenses]])</definedName>
    <definedName name="expenses_max_row"> MAX(ROW(expenses[]))</definedName>
    <definedName name="expenses_min_row"> MIN(ROW(expenses[]))</definedName>
    <definedName name="expenses_total_row"> ROW('Budget Planning'!$C$48)</definedName>
    <definedName name="income_header_row"> ROW(income[[#Headers],[Income]])</definedName>
    <definedName name="income_max_row"> MAX(ROW(income[]))</definedName>
    <definedName name="income_min_row"> MIN(ROW(income[]))</definedName>
    <definedName name="income_total_row"> ROW('Budget Planning'!$C$22)</definedName>
    <definedName name="item">'Budget Dashboard'!$J1</definedName>
    <definedName name="savings_header_row"> ROW(savings[[#Headers],[Savings]])</definedName>
    <definedName name="savings_max_row"> MAX(ROW(savings[]))</definedName>
    <definedName name="savings_min_row"> MIN(ROW(savings[]))</definedName>
    <definedName name="savings_rate_calculation_type">Settings!$E$22</definedName>
    <definedName name="savings_total_row"> ROW('Budget Planning'!$C$60)</definedName>
    <definedName name="selected_period">Calculation!$E$20</definedName>
    <definedName name="selected_period_display">Calculation!$E$21</definedName>
    <definedName name="selected_year">Calculation!$E$19</definedName>
    <definedName name="shift_late_income_starting_day">Settings!$E$18</definedName>
    <definedName name="shift_late_income_status">Settings!$E$16</definedName>
    <definedName name="starting_year">Settings!$E$8</definedName>
    <definedName name="tracked">'Budget Dashboard'!$K1</definedName>
    <definedName name="type">'Budget Dashboard'!$I1</definedName>
    <definedName name="budget_range" localSheetId="3">'Budget Dashboard'!$Q1</definedName>
    <definedName name="budget_rank" localSheetId="3">'Budget Dashboard'!$R1</definedName>
    <definedName name="comb_rank" localSheetId="3">'Budget Dashboard'!$S1</definedName>
    <definedName name="comb_rank_norm" localSheetId="3">'Budget Dashboard'!$U1</definedName>
    <definedName name="comb_rank_norm_run_range" localSheetId="3">'Budget Dashboard'!$V1</definedName>
    <definedName name="comb_rank_range" localSheetId="3">'Budget Dashboard'!$T1</definedName>
    <definedName name="comb_rank_unique" localSheetId="3">'Budget Dashboard'!$W1</definedName>
    <definedName name="header_row_id" localSheetId="3">'Budget Dashboard'!$D1</definedName>
    <definedName name="is_cat" localSheetId="3">'Budget Dashboard'!$F1</definedName>
    <definedName name="is_empty" localSheetId="3">'Budget Dashboard'!$H1</definedName>
    <definedName name="is_header" localSheetId="3">'Budget Dashboard'!$E1</definedName>
    <definedName name="is_total" localSheetId="3">'Budget Dashboard'!$G1</definedName>
    <definedName name="out_budget" localSheetId="3">'Budget Dashboard'!$AA1</definedName>
    <definedName name="out_percentage_completed" localSheetId="3">'Budget Dashboard'!$AB1</definedName>
    <definedName name="out_tracked" localSheetId="3">'Budget Dashboard'!$Z1</definedName>
    <definedName name="row_id" localSheetId="3">'Budget Dashboard'!$C1</definedName>
    <definedName name="sort_max_row" localSheetId="3">'Budget Dashboard'!$N1</definedName>
    <definedName name="sort_min_row" localSheetId="3">'Budget Dashboard'!$M1</definedName>
    <definedName name="tracked_range" localSheetId="3">'Budget Dashboard'!$O1</definedName>
    <definedName name="tracked_rank" localSheetId="3">'Budget Dashboard'!$P1</definedName>
    <definedName name="cc_budget" localSheetId="4">Calculation!$K1</definedName>
    <definedName name="cc_delta" localSheetId="4">Calculation!$L1</definedName>
    <definedName name="cc_in_focus" localSheetId="4">Calculation!$G1</definedName>
    <definedName name="cc_month_number" localSheetId="4">Calculation!$F1</definedName>
    <definedName name="cc_show_rem_budget" localSheetId="4">Calculation!$I1</definedName>
    <definedName name="cc_show_type" localSheetId="4">Calculation!$H1</definedName>
    <definedName name="cc_tracked" localSheetId="4">Calculation!$J1</definedName>
    <definedName name="cc_type" localSheetId="4">Calculation!$E1</definedName>
  </definedNames>
  <calcPr calcId="191028" fullCalcOnLoad="1"/>
</workbook>
</file>

<file path=xl/styles.xml><?xml version="1.0" encoding="utf-8"?>
<styleSheet xmlns="http://schemas.openxmlformats.org/spreadsheetml/2006/main">
  <numFmts count="9">
    <numFmt numFmtId="164" formatCode="mmm"/>
    <numFmt numFmtId="165" formatCode="_(* #,##0_);_(* \(#,##0\);_(* &quot;-&quot;??_);_(@_)"/>
    <numFmt numFmtId="166" formatCode="d/mmm/yy"/>
    <numFmt numFmtId="167" formatCode="d/mmm/yyyy"/>
    <numFmt numFmtId="168" formatCode="mmmm"/>
    <numFmt numFmtId="169" formatCode="&quot;$&quot;#,##0.00"/>
    <numFmt numFmtId="170" formatCode="YYYY-MM-DD"/>
    <numFmt numFmtId="171" formatCode="0.00&quot;%&quot;"/>
    <numFmt numFmtId="172" formatCode="#,##0.0000"/>
  </numFmts>
  <fonts count="52">
    <font>
      <name val="Aptos Narrow"/>
      <family val="2"/>
      <color theme="1"/>
      <sz val="12"/>
      <scheme val="minor"/>
    </font>
    <font>
      <name val="Aptos Narrow"/>
      <family val="2"/>
      <color theme="0"/>
      <sz val="12"/>
      <scheme val="minor"/>
    </font>
    <font>
      <name val="Aptos Narrow (Body)"/>
      <color theme="0"/>
      <sz val="24"/>
    </font>
    <font>
      <name val="Aptos Narrow"/>
      <b val="1"/>
      <color theme="1"/>
      <sz val="12"/>
      <scheme val="minor"/>
    </font>
    <font>
      <name val="Aptos Narrow"/>
      <family val="2"/>
      <color theme="1"/>
      <sz val="12"/>
      <scheme val="minor"/>
    </font>
    <font>
      <name val="Aptos Narrow"/>
      <family val="2"/>
      <b val="1"/>
      <color theme="1"/>
      <sz val="12"/>
      <scheme val="minor"/>
    </font>
    <font>
      <name val="Aptos Narrow"/>
      <b val="1"/>
      <color theme="0"/>
      <sz val="12"/>
      <scheme val="minor"/>
    </font>
    <font>
      <name val="Aptos Narrow"/>
      <family val="2"/>
      <color theme="0"/>
      <sz val="9"/>
      <scheme val="minor"/>
    </font>
    <font>
      <name val="Aptos Narrow"/>
      <i val="1"/>
      <color theme="0" tint="-0.499984740745262"/>
      <sz val="9"/>
      <scheme val="minor"/>
    </font>
    <font>
      <name val="Aptos Narrow"/>
      <family val="2"/>
      <color theme="0" tint="-0.499984740745262"/>
      <sz val="12"/>
      <scheme val="minor"/>
    </font>
    <font>
      <name val="Aptos Narrow"/>
      <family val="2"/>
      <color theme="1"/>
      <sz val="10"/>
      <scheme val="minor"/>
    </font>
    <font>
      <name val="Aptos Narrow"/>
      <b val="1"/>
      <color theme="0"/>
      <sz val="10"/>
      <scheme val="minor"/>
    </font>
    <font>
      <name val="Aptos Narrow"/>
      <family val="2"/>
      <color theme="0" tint="-0.3499862666707358"/>
      <sz val="10"/>
      <scheme val="minor"/>
    </font>
    <font>
      <name val="Aptos Narrow"/>
      <family val="2"/>
      <color theme="0" tint="-0.3499862666707358"/>
      <sz val="9"/>
      <scheme val="minor"/>
    </font>
    <font>
      <name val="Aptos Narrow"/>
      <b val="1"/>
      <color theme="1"/>
      <sz val="9"/>
      <scheme val="minor"/>
    </font>
    <font>
      <name val="Aptos Narrow"/>
      <b val="1"/>
      <color theme="0" tint="-0.3499862666707358"/>
      <sz val="9"/>
      <scheme val="minor"/>
    </font>
    <font>
      <name val="Aptos Narrow"/>
      <i val="1"/>
      <color theme="1"/>
      <sz val="12"/>
      <scheme val="minor"/>
    </font>
    <font>
      <name val="Aptos Narrow (Body)"/>
      <b val="1"/>
      <color rgb="FF7030A0"/>
      <sz val="12"/>
    </font>
    <font>
      <name val="Aptos Narrow"/>
      <family val="2"/>
      <color theme="0" tint="-0.249977111117893"/>
      <sz val="10"/>
      <scheme val="minor"/>
    </font>
    <font>
      <name val="Aptos Narrow"/>
      <family val="2"/>
      <color theme="0" tint="-0.499984740745262"/>
      <sz val="10"/>
      <scheme val="minor"/>
    </font>
    <font>
      <name val="Aptos Narrow"/>
      <b val="1"/>
      <color theme="3"/>
      <sz val="12"/>
      <scheme val="minor"/>
    </font>
    <font>
      <name val="Aptos Narrow (Body)"/>
      <i val="1"/>
      <color theme="0" tint="-0.249977111117893"/>
      <sz val="9"/>
    </font>
    <font>
      <name val="Aptos Narrow"/>
      <family val="2"/>
      <i val="1"/>
      <color theme="0" tint="-0.249977111117893"/>
      <sz val="12"/>
      <scheme val="minor"/>
    </font>
    <font>
      <name val="Aptos Narrow"/>
      <b val="1"/>
      <color theme="0"/>
      <sz val="11"/>
      <scheme val="minor"/>
    </font>
    <font>
      <name val="Aptos Narrow"/>
      <b val="1"/>
      <color theme="3"/>
      <sz val="26"/>
      <scheme val="minor"/>
    </font>
    <font>
      <name val="Aptos Narrow"/>
      <family val="2"/>
      <sz val="8"/>
      <scheme val="minor"/>
    </font>
    <font>
      <name val="Aptos Narrow (Body)"/>
      <b val="1"/>
      <color theme="0"/>
      <sz val="26"/>
    </font>
    <font>
      <name val="Aptos Narrow"/>
      <b val="1"/>
      <color theme="0"/>
      <sz val="26"/>
      <scheme val="minor"/>
    </font>
    <font>
      <name val="Aptos Narrow"/>
      <family val="2"/>
      <color theme="1"/>
      <sz val="8"/>
      <scheme val="minor"/>
    </font>
    <font>
      <name val="Aptos Narrow"/>
      <family val="2"/>
      <color theme="1"/>
      <sz val="10.5"/>
      <scheme val="minor"/>
    </font>
    <font>
      <name val="Aptos Narrow"/>
      <family val="2"/>
      <color rgb="FF00B0F0"/>
      <sz val="12"/>
      <scheme val="minor"/>
    </font>
    <font>
      <name val="Aptos Narrow"/>
      <b val="1"/>
      <color rgb="FF00B0F0"/>
      <sz val="12"/>
      <scheme val="minor"/>
    </font>
    <font>
      <name val="Aptos Narrow"/>
      <color rgb="FF00B0F0"/>
      <sz val="12"/>
      <scheme val="minor"/>
    </font>
    <font>
      <name val="Aptos Narrow"/>
      <b val="1"/>
      <color theme="1"/>
      <sz val="10"/>
      <scheme val="minor"/>
    </font>
    <font>
      <name val="Lucida Grande"/>
      <family val="2"/>
      <color rgb="FF000000"/>
      <sz val="13"/>
    </font>
    <font>
      <name val="Aptos Narrow"/>
      <b val="1"/>
      <color theme="0" tint="-0.3499862666707358"/>
      <sz val="10"/>
      <scheme val="minor"/>
    </font>
    <font>
      <name val="Aptos Narrow"/>
      <family val="2"/>
      <color theme="0"/>
      <sz val="10.5"/>
      <scheme val="minor"/>
    </font>
    <font>
      <name val="Aptos Narrow"/>
      <color theme="1"/>
      <sz val="12"/>
      <scheme val="minor"/>
    </font>
    <font>
      <name val="Calibri"/>
      <b val="1"/>
      <color rgb="00E2E8F0"/>
      <sz val="11"/>
    </font>
    <font>
      <name val="Calibri"/>
      <color rgb="00FFFFFF"/>
      <sz val="11"/>
    </font>
    <font>
      <name val="Calibri"/>
      <b val="1"/>
      <color rgb="00FFFFFF"/>
      <sz val="16"/>
    </font>
    <font>
      <name val="Calibri"/>
      <color rgb="0094A3B8"/>
      <sz val="10"/>
    </font>
    <font>
      <name val="Calibri"/>
      <b val="1"/>
      <color rgb="0094A3B8"/>
      <sz val="9"/>
    </font>
    <font>
      <name val="Calibri"/>
      <b val="1"/>
      <color rgb="00F59E0B"/>
      <sz val="13"/>
    </font>
    <font>
      <name val="Calibri"/>
      <color rgb="00FFFFFF"/>
      <sz val="10"/>
    </font>
    <font>
      <name val="Calibri"/>
      <b val="1"/>
      <color rgb="00FFFFFF"/>
      <sz val="13"/>
    </font>
    <font>
      <name val="Calibri"/>
      <b val="1"/>
      <color rgb="00FFFFFF"/>
      <sz val="11"/>
    </font>
    <font>
      <name val="Calibri"/>
      <color rgb="0094A3B8"/>
      <sz val="9"/>
    </font>
    <font>
      <name val="Calibri"/>
      <b val="1"/>
      <color rgb="00FFFFFF"/>
      <sz val="10"/>
    </font>
    <font>
      <name val="Calibri"/>
      <color rgb="000F1117"/>
      <sz val="11"/>
    </font>
    <font>
      <color rgb="003B82F6"/>
      <sz val="9"/>
    </font>
    <font>
      <name val="Calibri"/>
      <b val="1"/>
      <color rgb="00F59E0B"/>
      <sz val="12"/>
    </font>
  </fonts>
  <fills count="20">
    <fill>
      <patternFill/>
    </fill>
    <fill>
      <patternFill patternType="gray125"/>
    </fill>
    <fill>
      <patternFill patternType="solid">
        <fgColor theme="3"/>
        <bgColor indexed="64"/>
      </patternFill>
    </fill>
    <fill>
      <patternFill patternType="solid">
        <fgColor theme="3" tint="0.749992370372631"/>
        <bgColor indexed="64"/>
      </patternFill>
    </fill>
    <fill>
      <patternFill patternType="solid">
        <fgColor theme="0"/>
        <bgColor indexed="64"/>
      </patternFill>
    </fill>
    <fill>
      <patternFill patternType="solid">
        <fgColor theme="9" tint="0.3999755851924192"/>
        <bgColor indexed="64"/>
      </patternFill>
    </fill>
    <fill>
      <patternFill patternType="solid">
        <fgColor theme="8" tint="0.3999755851924192"/>
        <bgColor indexed="64"/>
      </patternFill>
    </fill>
    <fill>
      <patternFill patternType="solid">
        <fgColor theme="7" tint="0.3999755851924192"/>
        <bgColor indexed="64"/>
      </patternFill>
    </fill>
    <fill>
      <patternFill patternType="solid">
        <fgColor theme="0" tint="-0.0499893185216834"/>
        <bgColor indexed="64"/>
      </patternFill>
    </fill>
    <fill>
      <patternFill patternType="solid">
        <fgColor theme="0" tint="-0.1499984740745262"/>
        <bgColor indexed="64"/>
      </patternFill>
    </fill>
    <fill>
      <patternFill patternType="solid">
        <fgColor rgb="FFFFFF00"/>
        <bgColor indexed="64"/>
      </patternFill>
    </fill>
    <fill>
      <patternFill patternType="solid">
        <fgColor theme="6" tint="0.7999816888943144"/>
        <bgColor indexed="64"/>
      </patternFill>
    </fill>
    <fill>
      <patternFill patternType="solid">
        <fgColor theme="0" tint="-0.249977111117893"/>
        <bgColor indexed="64"/>
      </patternFill>
    </fill>
    <fill>
      <patternFill patternType="solid">
        <fgColor rgb="001E2130"/>
      </patternFill>
    </fill>
    <fill>
      <patternFill patternType="solid">
        <fgColor rgb="003B82F6"/>
      </patternFill>
    </fill>
    <fill>
      <patternFill patternType="solid">
        <fgColor rgb="000F1117"/>
      </patternFill>
    </fill>
    <fill>
      <patternFill patternType="solid">
        <fgColor rgb="001A1D27"/>
      </patternFill>
    </fill>
    <fill>
      <patternFill patternType="solid">
        <fgColor rgb="00141720"/>
      </patternFill>
    </fill>
    <fill>
      <patternFill patternType="solid">
        <fgColor rgb="007C3AED"/>
      </patternFill>
    </fill>
    <fill>
      <patternFill patternType="solid">
        <fgColor rgb="00B45309"/>
      </patternFill>
    </fill>
  </fills>
  <borders count="23">
    <border>
      <left/>
      <right/>
      <top/>
      <bottom/>
      <diagonal/>
    </border>
    <border>
      <left style="thin">
        <color theme="0" tint="-0.249946592608417"/>
      </left>
      <right style="thin">
        <color theme="0" tint="-0.249946592608417"/>
      </right>
      <top/>
      <bottom style="thin">
        <color theme="0" tint="-0.249946592608417"/>
      </bottom>
      <diagonal/>
    </border>
    <border>
      <left style="thin">
        <color theme="0" tint="-0.249946592608417"/>
      </left>
      <right/>
      <top/>
      <bottom/>
      <diagonal/>
    </border>
    <border>
      <left/>
      <right style="thin">
        <color theme="0" tint="-0.249946592608417"/>
      </right>
      <top/>
      <bottom/>
      <diagonal/>
    </border>
    <border>
      <left style="thin">
        <color theme="0" tint="-0.249946592608417"/>
      </left>
      <right/>
      <top/>
      <bottom style="thin">
        <color theme="0" tint="-0.249946592608417"/>
      </bottom>
      <diagonal/>
    </border>
    <border>
      <left/>
      <right/>
      <top/>
      <bottom style="thin">
        <color theme="0" tint="-0.249946592608417"/>
      </bottom>
      <diagonal/>
    </border>
    <border>
      <left/>
      <right style="thin">
        <color theme="0" tint="-0.249946592608417"/>
      </right>
      <top/>
      <bottom style="thin">
        <color theme="0" tint="-0.249946592608417"/>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right/>
      <top/>
      <bottom style="dotted">
        <color theme="0" tint="-0.249946592608417"/>
      </bottom>
      <diagonal/>
    </border>
    <border>
      <left/>
      <right/>
      <top style="thin">
        <color auto="1"/>
      </top>
      <bottom/>
      <diagonal/>
    </border>
    <border>
      <left/>
      <right/>
      <top/>
      <bottom style="thin">
        <color auto="1"/>
      </bottom>
      <diagonal/>
    </border>
    <border>
      <left/>
      <right/>
      <top style="thin">
        <color theme="0" tint="-0.249946592608417"/>
      </top>
      <bottom style="thin">
        <color theme="0" tint="-0.249946592608417"/>
      </bottom>
      <diagonal/>
    </border>
    <border>
      <left/>
      <right/>
      <top style="dotted">
        <color auto="1"/>
      </top>
      <bottom style="double">
        <color auto="1"/>
      </bottom>
      <diagonal/>
    </border>
    <border>
      <left/>
      <right/>
      <top style="dotted">
        <color auto="1"/>
      </top>
      <bottom/>
      <diagonal/>
    </border>
    <border>
      <left style="thin">
        <color theme="0" tint="-0.249946592608417"/>
      </left>
      <right/>
      <top style="thin">
        <color theme="0" tint="-0.249946592608417"/>
      </top>
      <bottom/>
      <diagonal/>
    </border>
    <border>
      <left/>
      <right style="thin">
        <color theme="0" tint="-0.249946592608417"/>
      </right>
      <top style="thin">
        <color theme="0" tint="-0.249946592608417"/>
      </top>
      <bottom/>
      <diagonal/>
    </border>
    <border>
      <left/>
      <right/>
      <top style="thin">
        <color auto="1"/>
      </top>
      <bottom style="thin">
        <color auto="1"/>
      </bottom>
      <diagonal/>
    </border>
    <border>
      <left style="thin">
        <color rgb="002D3748"/>
      </left>
      <right style="thin">
        <color rgb="002D3748"/>
      </right>
      <top style="thin">
        <color rgb="002D3748"/>
      </top>
      <bottom style="thin">
        <color rgb="002D3748"/>
      </bottom>
    </border>
    <border>
      <bottom style="thin">
        <color rgb="002D3748"/>
      </bottom>
    </border>
  </borders>
  <cellStyleXfs count="2">
    <xf numFmtId="0" fontId="4" fillId="0" borderId="0"/>
    <xf numFmtId="43" fontId="4" fillId="0" borderId="0"/>
  </cellStyleXfs>
  <cellXfs count="182">
    <xf numFmtId="0" fontId="0" fillId="0" borderId="0" pivotButton="0" quotePrefix="0" xfId="0"/>
    <xf numFmtId="0" fontId="1" fillId="0" borderId="0" pivotButton="0" quotePrefix="0" xfId="0"/>
    <xf numFmtId="0" fontId="1" fillId="0" borderId="2" pivotButton="0" quotePrefix="0" xfId="0"/>
    <xf numFmtId="0" fontId="1" fillId="0" borderId="3" pivotButton="0" quotePrefix="0" xfId="0"/>
    <xf numFmtId="0" fontId="1" fillId="0" borderId="4" pivotButton="0" quotePrefix="0" xfId="0"/>
    <xf numFmtId="0" fontId="1" fillId="0" borderId="5" pivotButton="0" quotePrefix="0" xfId="0"/>
    <xf numFmtId="0" fontId="1" fillId="0" borderId="6" pivotButton="0" quotePrefix="0" xfId="0"/>
    <xf numFmtId="0" fontId="3" fillId="0" borderId="0" pivotButton="0" quotePrefix="0" xfId="0"/>
    <xf numFmtId="0" fontId="0" fillId="3" borderId="0" applyAlignment="1" pivotButton="0" quotePrefix="0" xfId="0">
      <alignment horizontal="center" vertical="center"/>
    </xf>
    <xf numFmtId="0" fontId="1" fillId="4" borderId="2" applyAlignment="1" pivotButton="0" quotePrefix="0" xfId="0">
      <alignment horizontal="center" vertical="center"/>
    </xf>
    <xf numFmtId="0" fontId="1" fillId="4" borderId="0" applyAlignment="1" pivotButton="0" quotePrefix="0" xfId="0">
      <alignment horizontal="center" vertical="center"/>
    </xf>
    <xf numFmtId="0" fontId="1" fillId="4" borderId="3" applyAlignment="1" pivotButton="0" quotePrefix="0" xfId="0">
      <alignment horizontal="center" vertical="center"/>
    </xf>
    <xf numFmtId="0" fontId="8" fillId="0" borderId="0" pivotButton="0" quotePrefix="0" xfId="0"/>
    <xf numFmtId="0" fontId="0" fillId="2" borderId="0" pivotButton="0" quotePrefix="0" xfId="0"/>
    <xf numFmtId="0" fontId="0" fillId="0" borderId="0" applyAlignment="1" pivotButton="0" quotePrefix="0" xfId="0">
      <alignment horizontal="left" indent="1"/>
    </xf>
    <xf numFmtId="0" fontId="3" fillId="0" borderId="0" applyAlignment="1" pivotButton="0" quotePrefix="0" xfId="0">
      <alignment horizontal="left" indent="1"/>
    </xf>
    <xf numFmtId="0" fontId="10" fillId="0" borderId="0" applyAlignment="1" pivotButton="0" quotePrefix="0" xfId="0">
      <alignment horizontal="left" indent="1"/>
    </xf>
    <xf numFmtId="0" fontId="3" fillId="0" borderId="7" applyAlignment="1" pivotButton="0" quotePrefix="0" xfId="0">
      <alignment horizontal="left" indent="1"/>
    </xf>
    <xf numFmtId="0" fontId="11" fillId="5" borderId="0" applyAlignment="1" pivotButton="0" quotePrefix="0" xfId="0">
      <alignment horizontal="center" vertical="center"/>
    </xf>
    <xf numFmtId="164" fontId="11" fillId="5" borderId="0" applyAlignment="1" pivotButton="0" quotePrefix="0" xfId="0">
      <alignment horizontal="center" vertical="center"/>
    </xf>
    <xf numFmtId="0" fontId="12" fillId="0" borderId="0" applyAlignment="1" pivotButton="0" quotePrefix="0" xfId="0">
      <alignment horizontal="left" indent="1"/>
    </xf>
    <xf numFmtId="165" fontId="13" fillId="0" borderId="7" pivotButton="0" quotePrefix="0" xfId="1"/>
    <xf numFmtId="165" fontId="14" fillId="0" borderId="7" pivotButton="0" quotePrefix="0" xfId="1"/>
    <xf numFmtId="165" fontId="15" fillId="0" borderId="7" pivotButton="0" quotePrefix="0" xfId="1"/>
    <xf numFmtId="0" fontId="5" fillId="0" borderId="0" applyAlignment="1" pivotButton="0" quotePrefix="0" xfId="0">
      <alignment horizontal="left" indent="1"/>
    </xf>
    <xf numFmtId="164" fontId="11" fillId="6" borderId="0" applyAlignment="1" pivotButton="0" quotePrefix="0" xfId="0">
      <alignment horizontal="center" vertical="center"/>
    </xf>
    <xf numFmtId="0" fontId="11" fillId="6" borderId="0" applyAlignment="1" pivotButton="0" quotePrefix="0" xfId="0">
      <alignment horizontal="center" vertical="center"/>
    </xf>
    <xf numFmtId="164" fontId="11" fillId="7" borderId="0" applyAlignment="1" pivotButton="0" quotePrefix="0" xfId="0">
      <alignment horizontal="center" vertical="center"/>
    </xf>
    <xf numFmtId="0" fontId="11" fillId="7" borderId="0" applyAlignment="1" pivotButton="0" quotePrefix="0" xfId="0">
      <alignment horizontal="center" vertical="center"/>
    </xf>
    <xf numFmtId="0" fontId="16" fillId="0" borderId="0" applyAlignment="1" pivotButton="0" quotePrefix="0" xfId="0">
      <alignment horizontal="right"/>
    </xf>
    <xf numFmtId="0" fontId="9" fillId="0" borderId="0" applyAlignment="1" pivotButton="0" quotePrefix="0" xfId="0">
      <alignment horizontal="right" vertical="center"/>
    </xf>
    <xf numFmtId="165" fontId="3" fillId="0" borderId="7" pivotButton="0" quotePrefix="0" xfId="0"/>
    <xf numFmtId="0" fontId="3" fillId="0" borderId="7" applyAlignment="1" pivotButton="0" quotePrefix="0" xfId="0">
      <alignment horizontal="center" vertical="center"/>
    </xf>
    <xf numFmtId="0" fontId="0" fillId="0" borderId="2" pivotButton="0" quotePrefix="0" xfId="0"/>
    <xf numFmtId="0" fontId="0" fillId="0" borderId="4" pivotButton="0" quotePrefix="0" xfId="0"/>
    <xf numFmtId="0" fontId="0" fillId="0" borderId="5" pivotButton="0" quotePrefix="0" xfId="0"/>
    <xf numFmtId="0" fontId="0" fillId="0" borderId="3" pivotButton="0" quotePrefix="0" xfId="0"/>
    <xf numFmtId="0" fontId="0" fillId="0" borderId="6" pivotButton="0" quotePrefix="0" xfId="0"/>
    <xf numFmtId="166" fontId="10" fillId="0" borderId="0" applyAlignment="1" pivotButton="0" quotePrefix="0" xfId="0">
      <alignment horizontal="left" indent="1"/>
    </xf>
    <xf numFmtId="43" fontId="10" fillId="0" borderId="0" applyAlignment="1" pivotButton="0" quotePrefix="0" xfId="1">
      <alignment horizontal="left" indent="1"/>
    </xf>
    <xf numFmtId="0" fontId="9" fillId="9" borderId="0" applyAlignment="1" pivotButton="0" quotePrefix="0" xfId="0">
      <alignment horizontal="left" indent="1"/>
    </xf>
    <xf numFmtId="0" fontId="17" fillId="4" borderId="0" applyAlignment="1" pivotButton="0" quotePrefix="0" xfId="0">
      <alignment horizontal="left" vertical="center"/>
    </xf>
    <xf numFmtId="167" fontId="18" fillId="0" borderId="0" applyAlignment="1" pivotButton="0" quotePrefix="0" xfId="0">
      <alignment horizontal="right" indent="1"/>
    </xf>
    <xf numFmtId="0" fontId="2" fillId="2" borderId="0" pivotButton="0" quotePrefix="0" xfId="0"/>
    <xf numFmtId="0" fontId="0" fillId="9" borderId="0" pivotButton="0" quotePrefix="0" xfId="0"/>
    <xf numFmtId="0" fontId="0" fillId="10" borderId="0" pivotButton="0" quotePrefix="0" xfId="0"/>
    <xf numFmtId="0" fontId="20" fillId="0" borderId="0" pivotButton="0" quotePrefix="0" xfId="0"/>
    <xf numFmtId="43" fontId="0" fillId="0" borderId="0" pivotButton="0" quotePrefix="0" xfId="1"/>
    <xf numFmtId="166" fontId="0" fillId="10" borderId="0" pivotButton="0" quotePrefix="0" xfId="0"/>
    <xf numFmtId="166" fontId="0" fillId="0" borderId="0" pivotButton="0" quotePrefix="0" xfId="0"/>
    <xf numFmtId="0" fontId="23" fillId="2" borderId="0" applyAlignment="1" pivotButton="0" quotePrefix="0" xfId="0">
      <alignment horizontal="center" vertical="center"/>
    </xf>
    <xf numFmtId="0" fontId="19" fillId="0" borderId="11" applyAlignment="1" pivotButton="0" quotePrefix="0" xfId="0">
      <alignment horizontal="center" vertical="center"/>
    </xf>
    <xf numFmtId="0" fontId="19" fillId="0" borderId="1" applyAlignment="1" pivotButton="0" quotePrefix="0" xfId="0">
      <alignment horizontal="center" vertical="center"/>
    </xf>
    <xf numFmtId="168" fontId="19" fillId="0" borderId="11" applyAlignment="1" pivotButton="0" quotePrefix="0" xfId="0">
      <alignment horizontal="center" vertical="center"/>
    </xf>
    <xf numFmtId="168" fontId="19" fillId="0" borderId="1" applyAlignment="1" pivotButton="0" quotePrefix="0" xfId="0">
      <alignment horizontal="center" vertical="center"/>
    </xf>
    <xf numFmtId="0" fontId="20" fillId="0" borderId="12" pivotButton="0" quotePrefix="0" xfId="0"/>
    <xf numFmtId="0" fontId="0" fillId="0" borderId="0" applyAlignment="1" pivotButton="0" quotePrefix="0" xfId="0">
      <alignment horizontal="right"/>
    </xf>
    <xf numFmtId="0" fontId="28" fillId="8" borderId="0" applyAlignment="1" pivotButton="0" quotePrefix="0" xfId="0">
      <alignment horizontal="center" vertical="center"/>
    </xf>
    <xf numFmtId="0" fontId="28" fillId="8" borderId="2" applyAlignment="1" pivotButton="0" quotePrefix="0" xfId="0">
      <alignment horizontal="center" vertical="center"/>
    </xf>
    <xf numFmtId="0" fontId="28" fillId="8" borderId="3" applyAlignment="1" pivotButton="0" quotePrefix="0" xfId="0">
      <alignment horizontal="center" vertical="center"/>
    </xf>
    <xf numFmtId="43" fontId="0" fillId="0" borderId="0" pivotButton="0" quotePrefix="0" xfId="0"/>
    <xf numFmtId="21" fontId="0" fillId="0" borderId="0" pivotButton="0" quotePrefix="0" xfId="0"/>
    <xf numFmtId="165" fontId="13" fillId="0" borderId="7" applyAlignment="1" pivotButton="0" quotePrefix="0" xfId="1">
      <alignment horizontal="left" indent="3"/>
    </xf>
    <xf numFmtId="165" fontId="15" fillId="0" borderId="7" applyAlignment="1" pivotButton="0" quotePrefix="0" xfId="1">
      <alignment horizontal="left" indent="3"/>
    </xf>
    <xf numFmtId="165" fontId="14" fillId="0" borderId="7" applyAlignment="1" pivotButton="0" quotePrefix="0" xfId="1">
      <alignment horizontal="left" indent="3"/>
    </xf>
    <xf numFmtId="165" fontId="0" fillId="0" borderId="0" pivotButton="0" quotePrefix="0" xfId="1"/>
    <xf numFmtId="165" fontId="0" fillId="0" borderId="3" pivotButton="0" quotePrefix="0" xfId="1"/>
    <xf numFmtId="0" fontId="28" fillId="8" borderId="11" applyAlignment="1" pivotButton="0" quotePrefix="0" xfId="0">
      <alignment horizontal="center" vertical="center"/>
    </xf>
    <xf numFmtId="0" fontId="0" fillId="0" borderId="11" pivotButton="0" quotePrefix="0" xfId="0"/>
    <xf numFmtId="0" fontId="29" fillId="0" borderId="0" pivotButton="0" quotePrefix="0" xfId="0"/>
    <xf numFmtId="0" fontId="29" fillId="0" borderId="0" applyAlignment="1" pivotButton="0" quotePrefix="0" xfId="0">
      <alignment vertical="center"/>
    </xf>
    <xf numFmtId="10" fontId="29" fillId="0" borderId="0" applyAlignment="1" pivotButton="0" quotePrefix="0" xfId="0">
      <alignment horizontal="center" vertical="center"/>
    </xf>
    <xf numFmtId="43" fontId="29" fillId="0" borderId="0" applyAlignment="1" pivotButton="0" quotePrefix="0" xfId="1">
      <alignment horizontal="center" vertical="center"/>
    </xf>
    <xf numFmtId="43" fontId="29" fillId="0" borderId="0" applyAlignment="1" pivotButton="0" quotePrefix="0" xfId="1">
      <alignment horizontal="center"/>
    </xf>
    <xf numFmtId="0" fontId="0" fillId="0" borderId="15" pivotButton="0" quotePrefix="0" xfId="0"/>
    <xf numFmtId="0" fontId="32" fillId="0" borderId="15" pivotButton="0" quotePrefix="0" xfId="0"/>
    <xf numFmtId="0" fontId="3" fillId="0" borderId="14" applyAlignment="1" pivotButton="0" quotePrefix="0" xfId="0">
      <alignment horizontal="center"/>
    </xf>
    <xf numFmtId="0" fontId="0" fillId="0" borderId="0" applyAlignment="1" pivotButton="0" quotePrefix="0" xfId="0">
      <alignment horizontal="center"/>
    </xf>
    <xf numFmtId="0" fontId="0" fillId="0" borderId="16" applyAlignment="1" pivotButton="0" quotePrefix="0" xfId="0">
      <alignment horizontal="center"/>
    </xf>
    <xf numFmtId="0" fontId="3" fillId="0" borderId="0" applyAlignment="1" pivotButton="0" quotePrefix="0" xfId="0">
      <alignment horizontal="center"/>
    </xf>
    <xf numFmtId="165" fontId="0" fillId="0" borderId="0" applyAlignment="1" pivotButton="0" quotePrefix="0" xfId="1">
      <alignment horizontal="center"/>
    </xf>
    <xf numFmtId="165" fontId="0" fillId="0" borderId="16" applyAlignment="1" pivotButton="0" quotePrefix="0" xfId="1">
      <alignment horizontal="center"/>
    </xf>
    <xf numFmtId="165" fontId="3" fillId="0" borderId="0" applyAlignment="1" pivotButton="0" quotePrefix="0" xfId="1">
      <alignment horizontal="center"/>
    </xf>
    <xf numFmtId="0" fontId="10" fillId="0" borderId="0" applyAlignment="1" pivotButton="0" quotePrefix="0" xfId="0">
      <alignment horizontal="left" vertical="center" indent="1"/>
    </xf>
    <xf numFmtId="165" fontId="10" fillId="0" borderId="0" applyAlignment="1" pivotButton="0" quotePrefix="0" xfId="1">
      <alignment vertical="center"/>
    </xf>
    <xf numFmtId="0" fontId="33" fillId="0" borderId="17" applyAlignment="1" pivotButton="0" quotePrefix="0" xfId="0">
      <alignment horizontal="left" vertical="center" indent="1"/>
    </xf>
    <xf numFmtId="165" fontId="10" fillId="0" borderId="0" applyAlignment="1" pivotButton="0" quotePrefix="0" xfId="1">
      <alignment horizontal="left" vertical="center" indent="1"/>
    </xf>
    <xf numFmtId="165" fontId="33" fillId="0" borderId="17" applyAlignment="1" pivotButton="0" quotePrefix="0" xfId="1">
      <alignment horizontal="left" vertical="center" indent="1"/>
    </xf>
    <xf numFmtId="0" fontId="0" fillId="0" borderId="18" pivotButton="0" quotePrefix="0" xfId="0"/>
    <xf numFmtId="0" fontId="0" fillId="0" borderId="10" pivotButton="0" quotePrefix="0" xfId="0"/>
    <xf numFmtId="0" fontId="0" fillId="0" borderId="19" pivotButton="0" quotePrefix="0" xfId="0"/>
    <xf numFmtId="0" fontId="11" fillId="0" borderId="0" applyAlignment="1" pivotButton="0" quotePrefix="0" xfId="0">
      <alignment vertical="center"/>
    </xf>
    <xf numFmtId="0" fontId="0" fillId="0" borderId="13" applyAlignment="1" pivotButton="0" quotePrefix="0" xfId="0">
      <alignment horizontal="center"/>
    </xf>
    <xf numFmtId="0" fontId="0" fillId="0" borderId="14" applyAlignment="1" pivotButton="0" quotePrefix="0" xfId="0">
      <alignment horizontal="center"/>
    </xf>
    <xf numFmtId="165" fontId="0" fillId="0" borderId="0" applyAlignment="1" pivotButton="0" quotePrefix="0" xfId="1">
      <alignment horizontal="center"/>
    </xf>
    <xf numFmtId="0" fontId="33" fillId="0" borderId="0" pivotButton="0" quotePrefix="0" xfId="0"/>
    <xf numFmtId="165" fontId="0" fillId="0" borderId="14" applyAlignment="1" pivotButton="0" quotePrefix="0" xfId="1">
      <alignment horizontal="center"/>
    </xf>
    <xf numFmtId="0" fontId="0" fillId="0" borderId="12" applyAlignment="1" pivotButton="0" quotePrefix="0" xfId="0">
      <alignment horizontal="right"/>
    </xf>
    <xf numFmtId="10" fontId="0" fillId="0" borderId="0" pivotButton="0" quotePrefix="0" xfId="0"/>
    <xf numFmtId="165" fontId="0" fillId="0" borderId="0" pivotButton="0" quotePrefix="0" xfId="0"/>
    <xf numFmtId="43" fontId="10" fillId="0" borderId="0" applyAlignment="1" pivotButton="0" quotePrefix="0" xfId="1">
      <alignment horizontal="left" indent="2"/>
    </xf>
    <xf numFmtId="0" fontId="12" fillId="0" borderId="7" applyAlignment="1" pivotButton="0" quotePrefix="0" xfId="0">
      <alignment horizontal="left" indent="1"/>
    </xf>
    <xf numFmtId="166" fontId="10" fillId="8" borderId="2" applyAlignment="1" pivotButton="0" quotePrefix="0" xfId="0">
      <alignment horizontal="left" indent="1"/>
    </xf>
    <xf numFmtId="0" fontId="10" fillId="8" borderId="0" applyAlignment="1" pivotButton="0" quotePrefix="0" xfId="0">
      <alignment horizontal="left" indent="1"/>
    </xf>
    <xf numFmtId="43" fontId="10" fillId="8" borderId="0" applyAlignment="1" pivotButton="0" quotePrefix="0" xfId="1">
      <alignment horizontal="left" indent="1"/>
    </xf>
    <xf numFmtId="166" fontId="10" fillId="0" borderId="2" applyAlignment="1" pivotButton="0" quotePrefix="0" xfId="0">
      <alignment horizontal="left" indent="1"/>
    </xf>
    <xf numFmtId="43" fontId="10" fillId="0" borderId="0" applyAlignment="1" pivotButton="0" quotePrefix="0" xfId="1">
      <alignment horizontal="left" indent="1"/>
    </xf>
    <xf numFmtId="0" fontId="35" fillId="0" borderId="7" applyAlignment="1" pivotButton="0" quotePrefix="0" xfId="0">
      <alignment horizontal="left" indent="1"/>
    </xf>
    <xf numFmtId="43" fontId="10" fillId="0" borderId="0" applyAlignment="1" pivotButton="0" quotePrefix="0" xfId="1">
      <alignment horizontal="left" indent="3"/>
    </xf>
    <xf numFmtId="169" fontId="0" fillId="0" borderId="0" pivotButton="0" quotePrefix="0" xfId="0"/>
    <xf numFmtId="0" fontId="37" fillId="0" borderId="0" pivotButton="0" quotePrefix="0" xfId="0"/>
    <xf numFmtId="165" fontId="13" fillId="0" borderId="0" pivotButton="0" quotePrefix="0" xfId="1"/>
    <xf numFmtId="43" fontId="36" fillId="0" borderId="0" applyAlignment="1" pivotButton="0" quotePrefix="0" xfId="1">
      <alignment horizontal="center" vertical="center"/>
    </xf>
    <xf numFmtId="0" fontId="1" fillId="2" borderId="2" applyAlignment="1" pivotButton="0" quotePrefix="0" xfId="0">
      <alignment horizontal="center" vertical="center"/>
    </xf>
    <xf numFmtId="0" fontId="1" fillId="2" borderId="0" applyAlignment="1" pivotButton="0" quotePrefix="0" xfId="0">
      <alignment horizontal="center" vertical="center"/>
    </xf>
    <xf numFmtId="0" fontId="1" fillId="2" borderId="3" applyAlignment="1" pivotButton="0" quotePrefix="0" xfId="0">
      <alignment horizontal="center" vertical="center"/>
    </xf>
    <xf numFmtId="0" fontId="26" fillId="2" borderId="0" applyAlignment="1" pivotButton="0" quotePrefix="0" xfId="0">
      <alignment horizontal="left" vertical="center" indent="1"/>
    </xf>
    <xf numFmtId="0" fontId="8" fillId="0" borderId="0" applyAlignment="1" pivotButton="0" quotePrefix="0" xfId="0">
      <alignment horizontal="left" vertical="top" wrapText="1"/>
    </xf>
    <xf numFmtId="0" fontId="8" fillId="0" borderId="0" applyAlignment="1" pivotButton="0" quotePrefix="0" xfId="0">
      <alignment horizontal="left" vertical="top"/>
    </xf>
    <xf numFmtId="0" fontId="6" fillId="2" borderId="0" applyAlignment="1" pivotButton="0" quotePrefix="0" xfId="0">
      <alignment horizontal="center" vertical="center"/>
    </xf>
    <xf numFmtId="0" fontId="27" fillId="2" borderId="0" applyAlignment="1" pivotButton="0" quotePrefix="0" xfId="0">
      <alignment horizontal="left" vertical="center" indent="1"/>
    </xf>
    <xf numFmtId="0" fontId="5" fillId="2" borderId="0" applyAlignment="1" pivotButton="0" quotePrefix="0" xfId="0">
      <alignment horizontal="left" vertical="center" indent="1"/>
    </xf>
    <xf numFmtId="0" fontId="3" fillId="0" borderId="8" applyAlignment="1" pivotButton="0" quotePrefix="0" xfId="0">
      <alignment horizontal="center" vertical="center"/>
    </xf>
    <xf numFmtId="0" fontId="3" fillId="0" borderId="9" applyAlignment="1" pivotButton="0" quotePrefix="0" xfId="0">
      <alignment horizontal="center" vertical="center"/>
    </xf>
    <xf numFmtId="0" fontId="21" fillId="0" borderId="0" applyAlignment="1" pivotButton="0" quotePrefix="0" xfId="0">
      <alignment horizontal="right" indent="1"/>
    </xf>
    <xf numFmtId="0" fontId="22" fillId="0" borderId="0" applyAlignment="1" pivotButton="0" quotePrefix="0" xfId="0">
      <alignment horizontal="right" indent="1"/>
    </xf>
    <xf numFmtId="168" fontId="10" fillId="11" borderId="10" applyAlignment="1" pivotButton="0" quotePrefix="0" xfId="0">
      <alignment horizontal="center" vertical="center"/>
    </xf>
    <xf numFmtId="0" fontId="11" fillId="2" borderId="0" applyAlignment="1" pivotButton="0" quotePrefix="0" xfId="0">
      <alignment horizontal="center" vertical="center"/>
    </xf>
    <xf numFmtId="0" fontId="10" fillId="11" borderId="10" applyAlignment="1" pivotButton="0" quotePrefix="0" xfId="0">
      <alignment horizontal="center" vertical="center"/>
    </xf>
    <xf numFmtId="0" fontId="11" fillId="12" borderId="0" applyAlignment="1" pivotButton="0" quotePrefix="0" xfId="0">
      <alignment horizontal="center" vertical="center"/>
    </xf>
    <xf numFmtId="164" fontId="0" fillId="0" borderId="0" applyAlignment="1" pivotButton="0" quotePrefix="0" xfId="0">
      <alignment horizontal="center" vertical="center"/>
    </xf>
    <xf numFmtId="164" fontId="0" fillId="0" borderId="14" applyAlignment="1" pivotButton="0" quotePrefix="0" xfId="0">
      <alignment horizontal="center" vertical="center"/>
    </xf>
    <xf numFmtId="0" fontId="24" fillId="9" borderId="0" applyAlignment="1" pivotButton="0" quotePrefix="0" xfId="0">
      <alignment horizontal="left" vertical="center" indent="1"/>
    </xf>
    <xf numFmtId="0" fontId="7" fillId="2" borderId="0" applyAlignment="1" pivotButton="0" quotePrefix="0" xfId="0">
      <alignment horizontal="left" vertical="center" indent="2"/>
    </xf>
    <xf numFmtId="164" fontId="0" fillId="0" borderId="13" applyAlignment="1" pivotButton="0" quotePrefix="0" xfId="0">
      <alignment horizontal="center" vertical="center"/>
    </xf>
    <xf numFmtId="0" fontId="1" fillId="2" borderId="11" applyAlignment="1" pivotButton="0" quotePrefix="0" xfId="0">
      <alignment horizontal="center" vertical="center"/>
    </xf>
    <xf numFmtId="0" fontId="0" fillId="0" borderId="9" pivotButton="0" quotePrefix="0" xfId="0"/>
    <xf numFmtId="0" fontId="0" fillId="0" borderId="14" pivotButton="0" quotePrefix="0" xfId="0"/>
    <xf numFmtId="164" fontId="0" fillId="0" borderId="20" applyAlignment="1" pivotButton="0" quotePrefix="0" xfId="0">
      <alignment horizontal="center" vertical="center"/>
    </xf>
    <xf numFmtId="0" fontId="38" fillId="13" borderId="0" pivotButton="0" quotePrefix="0" xfId="0"/>
    <xf numFmtId="0" fontId="39" fillId="0" borderId="0" pivotButton="0" quotePrefix="0" xfId="0"/>
    <xf numFmtId="0" fontId="40" fillId="14" borderId="0" applyAlignment="1" pivotButton="0" quotePrefix="0" xfId="0">
      <alignment horizontal="center" vertical="center"/>
    </xf>
    <xf numFmtId="0" fontId="41" fillId="15" borderId="0" applyAlignment="1" pivotButton="0" quotePrefix="0" xfId="0">
      <alignment horizontal="center" vertical="center"/>
    </xf>
    <xf numFmtId="0" fontId="42" fillId="16" borderId="0" applyAlignment="1" pivotButton="0" quotePrefix="0" xfId="0">
      <alignment horizontal="center" vertical="center"/>
    </xf>
    <xf numFmtId="169" fontId="43" fillId="16" borderId="0" applyAlignment="1" pivotButton="0" quotePrefix="0" xfId="0">
      <alignment horizontal="center" vertical="center"/>
    </xf>
    <xf numFmtId="0" fontId="38" fillId="13" borderId="21" applyAlignment="1" pivotButton="0" quotePrefix="0" xfId="0">
      <alignment horizontal="center" vertical="center"/>
    </xf>
    <xf numFmtId="170" fontId="44" fillId="17" borderId="22" pivotButton="0" quotePrefix="0" xfId="0"/>
    <xf numFmtId="0" fontId="44" fillId="17" borderId="22" pivotButton="0" quotePrefix="0" xfId="0"/>
    <xf numFmtId="169" fontId="44" fillId="17" borderId="22" pivotButton="0" quotePrefix="0" xfId="0"/>
    <xf numFmtId="0" fontId="44" fillId="17" borderId="22" applyAlignment="1" pivotButton="0" quotePrefix="0" xfId="0">
      <alignment horizontal="center" vertical="center"/>
    </xf>
    <xf numFmtId="170" fontId="44" fillId="16" borderId="22" pivotButton="0" quotePrefix="0" xfId="0"/>
    <xf numFmtId="0" fontId="44" fillId="16" borderId="22" pivotButton="0" quotePrefix="0" xfId="0"/>
    <xf numFmtId="169" fontId="44" fillId="16" borderId="22" pivotButton="0" quotePrefix="0" xfId="0"/>
    <xf numFmtId="0" fontId="44" fillId="16" borderId="22" applyAlignment="1" pivotButton="0" quotePrefix="0" xfId="0">
      <alignment horizontal="center" vertical="center"/>
    </xf>
    <xf numFmtId="0" fontId="45" fillId="13" borderId="0" applyAlignment="1" pivotButton="0" quotePrefix="0" xfId="0">
      <alignment horizontal="center" vertical="center"/>
    </xf>
    <xf numFmtId="0" fontId="46" fillId="16" borderId="0" applyAlignment="1" pivotButton="0" quotePrefix="0" xfId="0">
      <alignment horizontal="center" vertical="center"/>
    </xf>
    <xf numFmtId="169" fontId="39" fillId="16" borderId="0" applyAlignment="1" pivotButton="0" quotePrefix="0" xfId="0">
      <alignment horizontal="right" vertical="center"/>
    </xf>
    <xf numFmtId="0" fontId="40" fillId="18" borderId="0" applyAlignment="1" pivotButton="0" quotePrefix="0" xfId="0">
      <alignment horizontal="center" vertical="center"/>
    </xf>
    <xf numFmtId="0" fontId="43" fillId="16" borderId="0" applyAlignment="1" pivotButton="0" quotePrefix="0" xfId="0">
      <alignment horizontal="center" vertical="center"/>
    </xf>
    <xf numFmtId="0" fontId="47" fillId="15" borderId="0" applyAlignment="1" pivotButton="0" quotePrefix="0" xfId="0">
      <alignment horizontal="left" vertical="center"/>
    </xf>
    <xf numFmtId="169" fontId="41" fillId="17" borderId="22" pivotButton="0" quotePrefix="0" xfId="0"/>
    <xf numFmtId="0" fontId="48" fillId="17" borderId="22" applyAlignment="1" pivotButton="0" quotePrefix="0" xfId="0">
      <alignment horizontal="center" vertical="center"/>
    </xf>
    <xf numFmtId="169" fontId="41" fillId="16" borderId="22" pivotButton="0" quotePrefix="0" xfId="0"/>
    <xf numFmtId="0" fontId="48" fillId="16" borderId="22" applyAlignment="1" pivotButton="0" quotePrefix="0" xfId="0">
      <alignment horizontal="center" vertical="center"/>
    </xf>
    <xf numFmtId="0" fontId="40" fillId="19" borderId="0" applyAlignment="1" pivotButton="0" quotePrefix="0" xfId="0">
      <alignment horizontal="center" vertical="center"/>
    </xf>
    <xf numFmtId="171" fontId="43" fillId="16" borderId="0" applyAlignment="1" pivotButton="0" quotePrefix="0" xfId="0">
      <alignment horizontal="center" vertical="center"/>
    </xf>
    <xf numFmtId="0" fontId="49" fillId="0" borderId="0" pivotButton="0" quotePrefix="0" xfId="0"/>
    <xf numFmtId="0" fontId="44" fillId="17" borderId="22" applyAlignment="1" pivotButton="0" quotePrefix="0" xfId="0">
      <alignment horizontal="left" vertical="center"/>
    </xf>
    <xf numFmtId="172" fontId="44" fillId="17" borderId="22" applyAlignment="1" pivotButton="0" quotePrefix="0" xfId="0">
      <alignment horizontal="right" vertical="center"/>
    </xf>
    <xf numFmtId="169" fontId="0" fillId="17" borderId="22" applyAlignment="1" pivotButton="0" quotePrefix="0" xfId="0">
      <alignment horizontal="right" vertical="center"/>
    </xf>
    <xf numFmtId="169" fontId="44" fillId="17" borderId="22" applyAlignment="1" pivotButton="0" quotePrefix="0" xfId="0">
      <alignment horizontal="right" vertical="center"/>
    </xf>
    <xf numFmtId="171" fontId="0" fillId="17" borderId="22" applyAlignment="1" pivotButton="0" quotePrefix="0" xfId="0">
      <alignment horizontal="right" vertical="center"/>
    </xf>
    <xf numFmtId="0" fontId="50" fillId="17" borderId="22" applyAlignment="1" pivotButton="0" quotePrefix="0" xfId="0">
      <alignment horizontal="left" vertical="center"/>
    </xf>
    <xf numFmtId="0" fontId="44" fillId="16" borderId="22" applyAlignment="1" pivotButton="0" quotePrefix="0" xfId="0">
      <alignment horizontal="left" vertical="center"/>
    </xf>
    <xf numFmtId="172" fontId="44" fillId="16" borderId="22" applyAlignment="1" pivotButton="0" quotePrefix="0" xfId="0">
      <alignment horizontal="right" vertical="center"/>
    </xf>
    <xf numFmtId="169" fontId="0" fillId="16" borderId="22" applyAlignment="1" pivotButton="0" quotePrefix="0" xfId="0">
      <alignment horizontal="right" vertical="center"/>
    </xf>
    <xf numFmtId="169" fontId="44" fillId="16" borderId="22" applyAlignment="1" pivotButton="0" quotePrefix="0" xfId="0">
      <alignment horizontal="right" vertical="center"/>
    </xf>
    <xf numFmtId="171" fontId="0" fillId="16" borderId="22" applyAlignment="1" pivotButton="0" quotePrefix="0" xfId="0">
      <alignment horizontal="right" vertical="center"/>
    </xf>
    <xf numFmtId="0" fontId="50" fillId="16" borderId="22" applyAlignment="1" pivotButton="0" quotePrefix="0" xfId="0">
      <alignment horizontal="left" vertical="center"/>
    </xf>
    <xf numFmtId="0" fontId="51" fillId="13" borderId="21" pivotButton="0" quotePrefix="0" xfId="0"/>
    <xf numFmtId="0" fontId="0" fillId="13" borderId="21" pivotButton="0" quotePrefix="0" xfId="0"/>
    <xf numFmtId="169" fontId="51" fillId="13" borderId="21" pivotButton="0" quotePrefix="0" xfId="0"/>
  </cellXfs>
  <cellStyles count="2">
    <cellStyle name="Normal" xfId="0" builtinId="0"/>
    <cellStyle name="Comma" xfId="1" builtinId="3"/>
  </cellStyles>
  <dxfs count="77">
    <dxf>
      <fill>
        <patternFill>
          <bgColor theme="0" tint="-0.0499893185216834"/>
        </patternFill>
      </fill>
    </dxf>
    <dxf>
      <fill>
        <patternFill>
          <bgColor theme="3" tint="0.8999603259376812"/>
        </patternFill>
      </fill>
    </dxf>
    <dxf>
      <fill>
        <patternFill>
          <bgColor theme="3" tint="0.749961851863155"/>
        </patternFill>
      </fill>
    </dxf>
    <dxf>
      <fill>
        <patternFill>
          <bgColor theme="3" tint="0.499984740745262"/>
        </patternFill>
      </fill>
    </dxf>
    <dxf>
      <fill>
        <patternFill>
          <bgColor theme="3" tint="0.249946592608417"/>
        </patternFill>
      </fill>
    </dxf>
    <dxf>
      <fill>
        <patternFill>
          <bgColor theme="3" tint="0.09994811853389081"/>
        </patternFill>
      </fill>
    </dxf>
    <dxf>
      <fill>
        <patternFill>
          <bgColor theme="0" tint="-0.0499893185216834"/>
        </patternFill>
      </fill>
    </dxf>
    <dxf>
      <fill>
        <patternFill>
          <bgColor rgb="FFF0BEC0"/>
        </patternFill>
      </fill>
    </dxf>
    <dxf>
      <fill>
        <patternFill>
          <bgColor rgb="FFE97B7E"/>
        </patternFill>
      </fill>
    </dxf>
    <dxf>
      <fill>
        <patternFill>
          <bgColor rgb="FFF21B30"/>
        </patternFill>
      </fill>
    </dxf>
    <dxf>
      <fill>
        <patternFill>
          <bgColor rgb="FFEA0B13"/>
        </patternFill>
      </fill>
    </dxf>
    <dxf>
      <fill>
        <patternFill>
          <bgColor rgb="FFC81419"/>
        </patternFill>
      </fill>
    </dxf>
    <dxf>
      <fill>
        <patternFill>
          <bgColor theme="0" tint="-0.0499893185216834"/>
        </patternFill>
      </fill>
    </dxf>
    <dxf>
      <fill>
        <patternFill>
          <bgColor theme="9" tint="0.7999816888943144"/>
        </patternFill>
      </fill>
    </dxf>
    <dxf>
      <fill>
        <patternFill>
          <bgColor theme="9" tint="0.5999633777886288"/>
        </patternFill>
      </fill>
    </dxf>
    <dxf>
      <fill>
        <patternFill>
          <bgColor theme="9" tint="0.3999450666829432"/>
        </patternFill>
      </fill>
    </dxf>
    <dxf>
      <fill>
        <patternFill>
          <bgColor theme="9" tint="-0.249946592608417"/>
        </patternFill>
      </fill>
    </dxf>
    <dxf>
      <fill>
        <patternFill>
          <bgColor theme="9" tint="-0.499984740745262"/>
        </patternFill>
      </fill>
    </dxf>
    <dxf>
      <font>
        <b val="1"/>
        <color theme="0"/>
      </font>
      <fill>
        <patternFill>
          <bgColor rgb="FFD84D4B"/>
        </patternFill>
      </fill>
    </dxf>
    <dxf>
      <font>
        <b val="1"/>
        <color theme="0"/>
      </font>
      <fill>
        <patternFill>
          <bgColor rgb="FF00B050"/>
        </patternFill>
      </fill>
    </dxf>
    <dxf>
      <font>
        <b val="1"/>
      </font>
      <border>
        <top style="thin">
          <color auto="1"/>
        </top>
        <vertical/>
        <horizontal/>
      </border>
    </dxf>
    <dxf>
      <font>
        <b val="1"/>
        <color theme="0"/>
      </font>
      <fill>
        <patternFill>
          <bgColor rgb="FF00B0F0"/>
        </patternFill>
      </fill>
    </dxf>
    <dxf>
      <fill>
        <patternFill>
          <bgColor theme="9" tint="0.3999450666829432"/>
        </patternFill>
      </fill>
    </dxf>
    <dxf>
      <fill>
        <patternFill>
          <bgColor rgb="FFE76B76"/>
        </patternFill>
      </fill>
    </dxf>
    <dxf>
      <fill>
        <patternFill>
          <bgColor theme="4" tint="0.5999633777886288"/>
        </patternFill>
      </fill>
    </dxf>
    <dxf>
      <font>
        <b val="1"/>
      </font>
      <border>
        <top style="thin">
          <color auto="1"/>
        </top>
        <vertical/>
        <horizontal/>
      </border>
    </dxf>
    <dxf>
      <font>
        <b val="1"/>
        <color theme="0"/>
      </font>
      <fill>
        <patternFill>
          <bgColor rgb="FF00B0F0"/>
        </patternFill>
      </fill>
    </dxf>
    <dxf>
      <font>
        <b val="1"/>
        <color theme="0"/>
      </font>
      <fill>
        <patternFill>
          <bgColor rgb="FFD84D4B"/>
        </patternFill>
      </fill>
    </dxf>
    <dxf>
      <font>
        <b val="1"/>
        <color theme="0"/>
      </font>
      <fill>
        <patternFill>
          <bgColor rgb="FF00B050"/>
        </patternFill>
      </fill>
    </dxf>
    <dxf>
      <font>
        <color theme="0" tint="-0.499984740745262"/>
      </font>
      <numFmt numFmtId="170" formatCode="\→\ d/mmm/yy"/>
    </dxf>
    <dxf>
      <font>
        <color rgb="FF00B050"/>
      </font>
      <numFmt numFmtId="7" formatCode="#,##0.00_);\(#,##0.00\)"/>
    </dxf>
    <dxf>
      <font>
        <color rgb="FFFF0000"/>
      </font>
    </dxf>
    <dxf>
      <font>
        <color theme="1"/>
      </font>
      <fill>
        <patternFill>
          <bgColor theme="7" tint="0.7999816888943144"/>
        </patternFill>
      </fill>
    </dxf>
    <dxf>
      <font>
        <color rgb="FFFF0000"/>
      </font>
    </dxf>
    <dxf>
      <font>
        <color rgb="FF00B050"/>
      </font>
    </dxf>
    <dxf>
      <font>
        <color theme="0" tint="-0.249946592608417"/>
      </font>
    </dxf>
    <dxf>
      <font>
        <color theme="1"/>
      </font>
      <fill>
        <patternFill>
          <bgColor theme="8" tint="0.7999816888943144"/>
        </patternFill>
      </fill>
    </dxf>
    <dxf>
      <font>
        <color theme="1"/>
      </font>
      <fill>
        <patternFill>
          <bgColor theme="7" tint="0.7999816888943144"/>
        </patternFill>
      </fill>
    </dxf>
    <dxf>
      <font>
        <color theme="1"/>
      </font>
      <fill>
        <patternFill>
          <bgColor theme="8" tint="0.7999816888943144"/>
        </patternFill>
      </fill>
    </dxf>
    <dxf>
      <font>
        <color theme="1"/>
      </font>
      <fill>
        <patternFill>
          <bgColor theme="9" tint="0.7999816888943144"/>
        </patternFill>
      </fill>
    </dxf>
    <dxf>
      <font>
        <color theme="0" tint="-0.249946592608417"/>
      </font>
      <fill>
        <patternFill>
          <bgColor theme="2"/>
        </patternFill>
      </fill>
    </dxf>
    <dxf>
      <font>
        <name val="Aptos Narrow"/>
        <family val="2"/>
        <strike val="0"/>
        <outline val="0"/>
        <shadow val="0"/>
        <color theme="0" tint="-0.249977111117893"/>
        <sz val="10"/>
        <vertAlign val="baseline"/>
        <scheme val="minor"/>
      </font>
      <numFmt numFmtId="167" formatCode="d/mmm/yyyy"/>
      <alignment horizontal="right" vertical="bottom" indent="1"/>
    </dxf>
    <dxf>
      <font>
        <name val="Aptos Narrow"/>
        <family val="2"/>
        <strike val="0"/>
        <outline val="0"/>
        <shadow val="0"/>
        <color theme="1"/>
        <sz val="10"/>
        <vertAlign val="baseline"/>
        <scheme val="minor"/>
      </font>
      <alignment horizontal="left" vertical="bottom" relativeIndent="1"/>
    </dxf>
    <dxf>
      <font>
        <name val="Aptos Narrow"/>
        <family val="2"/>
        <strike val="0"/>
        <outline val="0"/>
        <shadow val="0"/>
        <color theme="0" tint="-0.3499862666707358"/>
        <sz val="10"/>
        <vertAlign val="baseline"/>
        <scheme val="minor"/>
      </font>
      <alignment horizontal="left" vertical="bottom" relativeIndent="1"/>
    </dxf>
    <dxf>
      <font>
        <name val="Aptos Narrow"/>
        <family val="2"/>
        <strike val="0"/>
        <outline val="0"/>
        <shadow val="0"/>
        <color theme="1"/>
        <sz val="10"/>
        <vertAlign val="baseline"/>
        <scheme val="minor"/>
      </font>
      <alignment horizontal="left" vertical="bottom" relativeIndent="1"/>
    </dxf>
    <dxf>
      <font>
        <name val="Aptos Narrow"/>
        <family val="2"/>
        <strike val="0"/>
        <outline val="0"/>
        <shadow val="0"/>
        <color theme="1"/>
        <sz val="10"/>
        <vertAlign val="baseline"/>
        <scheme val="minor"/>
      </font>
      <alignment horizontal="left" vertical="bottom" relativeIndent="1"/>
    </dxf>
    <dxf>
      <font>
        <name val="Aptos Narrow"/>
        <family val="2"/>
        <strike val="0"/>
        <outline val="0"/>
        <shadow val="0"/>
        <color theme="1"/>
        <sz val="10"/>
        <vertAlign val="baseline"/>
        <scheme val="minor"/>
      </font>
      <alignment horizontal="left" vertical="bottom" relativeIndent="1"/>
    </dxf>
    <dxf>
      <font>
        <name val="Aptos Narrow"/>
        <family val="2"/>
        <strike val="0"/>
        <outline val="0"/>
        <shadow val="0"/>
        <color theme="1"/>
        <sz val="10"/>
        <vertAlign val="baseline"/>
        <scheme val="minor"/>
      </font>
      <numFmt numFmtId="166" formatCode="d/mmm/yy"/>
      <alignment horizontal="left" vertical="bottom" relativeIndent="1"/>
    </dxf>
    <dxf>
      <font>
        <name val="Aptos Narrow"/>
        <family val="2"/>
        <strike val="0"/>
        <outline val="0"/>
        <shadow val="0"/>
        <color theme="1"/>
        <sz val="10"/>
        <vertAlign val="baseline"/>
        <scheme val="minor"/>
      </font>
      <alignment horizontal="left" vertical="bottom" relativeIndent="1"/>
    </dxf>
    <dxf>
      <alignment horizontal="left" vertical="bottom" relativeIndent="1"/>
    </dxf>
    <dxf>
      <font>
        <name val="Aptos Narrow"/>
        <family val="2"/>
        <strike val="0"/>
        <outline val="0"/>
        <shadow val="0"/>
        <condense val="0"/>
        <color theme="0" tint="-0.3499862666707358"/>
        <extend val="0"/>
        <sz val="10"/>
        <vertAlign val="baseline"/>
        <scheme val="minor"/>
      </font>
      <alignment horizontal="left" vertical="bottom" indent="1"/>
    </dxf>
    <dxf>
      <font>
        <name val="Aptos Narrow"/>
        <family val="2"/>
        <strike val="0"/>
        <outline val="0"/>
        <shadow val="0"/>
        <condense val="0"/>
        <color theme="0" tint="-0.3499862666707358"/>
        <extend val="0"/>
        <sz val="10"/>
        <vertAlign val="baseline"/>
        <scheme val="minor"/>
      </font>
      <alignment horizontal="left" vertical="bottom" indent="1"/>
    </dxf>
    <dxf>
      <font>
        <name val="Aptos Narrow"/>
        <b val="1"/>
        <strike val="0"/>
        <outline val="0"/>
        <shadow val="0"/>
        <condense val="0"/>
        <color theme="1"/>
        <extend val="0"/>
        <sz val="12"/>
        <vertAlign val="baseline"/>
        <scheme val="minor"/>
      </font>
      <alignment horizontal="left" vertical="bottom" indent="1"/>
    </dxf>
    <dxf>
      <font>
        <name val="Aptos Narrow"/>
        <family val="2"/>
        <strike val="0"/>
        <outline val="0"/>
        <shadow val="0"/>
        <condense val="0"/>
        <color theme="0" tint="-0.3499862666707358"/>
        <extend val="0"/>
        <sz val="10"/>
        <vertAlign val="baseline"/>
        <scheme val="minor"/>
      </font>
      <alignment horizontal="left" vertical="bottom" indent="1"/>
    </dxf>
    <dxf>
      <font>
        <name val="Aptos Narrow"/>
        <family val="2"/>
        <strike val="0"/>
        <outline val="0"/>
        <shadow val="0"/>
        <condense val="0"/>
        <color theme="0" tint="-0.3499862666707358"/>
        <extend val="0"/>
        <sz val="10"/>
        <vertAlign val="baseline"/>
        <scheme val="minor"/>
      </font>
      <alignment horizontal="left" vertical="bottom" indent="1"/>
    </dxf>
    <dxf>
      <font>
        <name val="Aptos Narrow"/>
        <b val="1"/>
        <strike val="0"/>
        <outline val="0"/>
        <shadow val="0"/>
        <condense val="0"/>
        <color theme="1"/>
        <extend val="0"/>
        <sz val="12"/>
        <vertAlign val="baseline"/>
        <scheme val="minor"/>
      </font>
      <alignment horizontal="left" vertical="bottom" indent="1"/>
    </dxf>
    <dxf>
      <font>
        <name val="Aptos Narrow"/>
        <family val="2"/>
        <strike val="0"/>
        <outline val="0"/>
        <shadow val="0"/>
        <condense val="0"/>
        <color theme="0" tint="-0.3499862666707358"/>
        <extend val="0"/>
        <sz val="10"/>
        <vertAlign val="baseline"/>
        <scheme val="minor"/>
      </font>
      <alignment horizontal="left" vertical="bottom" indent="1"/>
    </dxf>
    <dxf>
      <font>
        <name val="Aptos Narrow"/>
        <family val="2"/>
        <strike val="0"/>
        <outline val="0"/>
        <shadow val="0"/>
        <condense val="0"/>
        <color theme="0" tint="-0.3499862666707358"/>
        <extend val="0"/>
        <sz val="10"/>
        <vertAlign val="baseline"/>
        <scheme val="minor"/>
      </font>
      <alignment horizontal="left" vertical="bottom" indent="1"/>
    </dxf>
    <dxf>
      <font>
        <name val="Aptos Narrow"/>
        <b val="1"/>
        <strike val="0"/>
        <outline val="0"/>
        <shadow val="0"/>
        <condense val="0"/>
        <color theme="1"/>
        <extend val="0"/>
        <sz val="12"/>
        <vertAlign val="baseline"/>
        <scheme val="minor"/>
      </font>
      <alignment horizontal="left" vertical="bottom" indent="1"/>
    </dxf>
    <dxf>
      <fill>
        <patternFill>
          <bgColor theme="0" tint="-0.0499893185216834"/>
        </patternFill>
      </fill>
    </dxf>
    <dxf>
      <font>
        <b val="1"/>
        <color theme="0"/>
      </font>
      <fill>
        <patternFill>
          <bgColor theme="3"/>
        </patternFill>
      </fill>
      <border>
        <left style="thin">
          <color theme="0" tint="-0.249946592608417"/>
        </left>
        <right style="thin">
          <color theme="0" tint="-0.249946592608417"/>
        </right>
        <top style="thin">
          <color theme="0" tint="-0.249946592608417"/>
        </top>
        <bottom style="thin">
          <color theme="0" tint="-0.249946592608417"/>
        </bottom>
        <vertical style="thin">
          <color theme="0" tint="-0.249946592608417"/>
        </vertical>
        <horizontal style="thin">
          <color theme="0" tint="-0.249946592608417"/>
        </horizontal>
      </border>
    </dxf>
    <dxf>
      <border>
        <left style="thin">
          <color theme="0" tint="-0.249946592608417"/>
        </left>
        <right style="thin">
          <color theme="0" tint="-0.249946592608417"/>
        </right>
        <top style="thin">
          <color theme="0" tint="-0.249946592608417"/>
        </top>
        <bottom style="thin">
          <color theme="0" tint="-0.249946592608417"/>
        </bottom>
        <vertical/>
        <horizontal/>
      </border>
    </dxf>
    <dxf>
      <font>
        <b val="1"/>
        <color theme="0"/>
      </font>
      <fill>
        <patternFill>
          <bgColor theme="7" tint="0.3999450666829432"/>
        </patternFill>
      </fill>
    </dxf>
    <dxf>
      <border>
        <left style="thin">
          <color theme="0" tint="-0.249946592608417"/>
        </left>
        <right style="thin">
          <color theme="0" tint="-0.249946592608417"/>
        </right>
        <top style="thin">
          <color theme="0" tint="-0.249946592608417"/>
        </top>
        <bottom style="thin">
          <color theme="0" tint="-0.249946592608417"/>
        </bottom>
        <vertical style="thin">
          <color theme="0" tint="-0.249946592608417"/>
        </vertical>
        <horizontal style="thin">
          <color theme="0" tint="-0.249946592608417"/>
        </horizontal>
      </border>
    </dxf>
    <dxf>
      <font>
        <b val="1"/>
        <color theme="0"/>
      </font>
      <fill>
        <patternFill>
          <bgColor theme="9" tint="0.3999450666829432"/>
        </patternFill>
      </fill>
    </dxf>
    <dxf>
      <border>
        <left style="thin">
          <color theme="0" tint="-0.249946592608417"/>
        </left>
        <right style="thin">
          <color theme="0" tint="-0.249946592608417"/>
        </right>
        <top style="thin">
          <color theme="0" tint="-0.249946592608417"/>
        </top>
        <bottom style="thin">
          <color theme="0" tint="-0.249946592608417"/>
        </bottom>
        <vertical style="thin">
          <color theme="0" tint="-0.249946592608417"/>
        </vertical>
        <horizontal style="thin">
          <color theme="0" tint="-0.249946592608417"/>
        </horizontal>
      </border>
    </dxf>
    <dxf>
      <font>
        <b val="1"/>
        <color theme="0"/>
      </font>
      <fill>
        <patternFill>
          <bgColor theme="8" tint="0.3999450666829432"/>
        </patternFill>
      </fill>
    </dxf>
    <dxf>
      <border>
        <left style="thin">
          <color theme="0" tint="-0.249946592608417"/>
        </left>
        <right style="thin">
          <color theme="0" tint="-0.249946592608417"/>
        </right>
        <top style="thin">
          <color theme="0" tint="-0.249946592608417"/>
        </top>
        <bottom style="thin">
          <color theme="0" tint="-0.249946592608417"/>
        </bottom>
        <vertical style="thin">
          <color theme="0" tint="-0.249946592608417"/>
        </vertical>
        <horizontal style="thin">
          <color theme="0" tint="-0.249946592608417"/>
        </horizontal>
      </border>
    </dxf>
    <dxf>
      <font>
        <color rgb="0086EFAC"/>
      </font>
      <fill>
        <patternFill patternType="solid">
          <fgColor rgb="0014532D"/>
        </patternFill>
      </fill>
    </dxf>
    <dxf>
      <font>
        <color rgb="00FCA5A5"/>
      </font>
      <fill>
        <patternFill patternType="solid">
          <fgColor rgb="007F1D1D"/>
        </patternFill>
      </fill>
    </dxf>
    <dxf>
      <font>
        <color rgb="0093C5FD"/>
      </font>
      <fill>
        <patternFill patternType="solid">
          <fgColor rgb="001E3A5F"/>
        </patternFill>
      </fill>
    </dxf>
    <dxf>
      <font>
        <b val="1"/>
        <color rgb="00FDE68A"/>
      </font>
      <fill>
        <patternFill patternType="solid">
          <fgColor rgb="0078350F"/>
        </patternFill>
      </fill>
    </dxf>
    <dxf>
      <font>
        <color rgb="0022C55E"/>
      </font>
      <fill>
        <patternFill patternType="solid">
          <fgColor rgb="000D3321"/>
        </patternFill>
      </fill>
    </dxf>
    <dxf>
      <font>
        <color rgb="00EF4444"/>
      </font>
      <fill>
        <patternFill patternType="solid">
          <fgColor rgb="003B0A0A"/>
        </patternFill>
      </fill>
    </dxf>
    <dxf>
      <font>
        <b val="1"/>
        <color rgb="0022C55E"/>
      </font>
      <fill>
        <patternFill patternType="solid">
          <fgColor rgb="000D3321"/>
        </patternFill>
      </fill>
    </dxf>
    <dxf>
      <font>
        <b val="1"/>
        <color rgb="00EF4444"/>
      </font>
      <fill>
        <patternFill patternType="solid">
          <fgColor rgb="003B0A0A"/>
        </patternFill>
      </fill>
    </dxf>
    <dxf>
      <font>
        <color rgb="0094A3B8"/>
      </font>
      <fill>
        <patternFill patternType="solid">
          <fgColor rgb="001A1D27"/>
        </patternFill>
      </fill>
    </dxf>
  </dxfs>
  <tableStyles count="4" defaultTableStyle="TableStyleMedium2" defaultPivotStyle="PivotStyleLight16">
    <tableStyle name="Expenses Table Style" pivot="0" count="2">
      <tableStyleElement type="wholeTable" dxfId="67"/>
      <tableStyleElement type="headerRow" dxfId="66"/>
    </tableStyle>
    <tableStyle name="Income Table Style" pivot="0" count="2">
      <tableStyleElement type="wholeTable" dxfId="65"/>
      <tableStyleElement type="headerRow" dxfId="64"/>
    </tableStyle>
    <tableStyle name="Savings Table Style" pivot="0" count="2">
      <tableStyleElement type="wholeTable" dxfId="63"/>
      <tableStyleElement type="headerRow" dxfId="62"/>
    </tableStyle>
    <tableStyle name="Tracking Table Style" pivot="0" count="3">
      <tableStyleElement type="wholeTable" dxfId="61"/>
      <tableStyleElement type="headerRow" dxfId="60"/>
      <tableStyleElement type="firstRowStripe" dxfId="59"/>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chart>
    <plotArea>
      <layout/>
      <doughnutChart>
        <varyColors val="1"/>
        <ser>
          <idx val="0"/>
          <order val="0"/>
          <spPr>
            <a:ln>
              <a:prstDash val="solid"/>
            </a:ln>
          </spPr>
          <dPt>
            <idx val="0"/>
            <bubble3D val="0"/>
            <spPr>
              <a:solidFill>
                <a:srgbClr val="C81419"/>
              </a:solidFill>
              <a:ln w="19050">
                <a:solidFill>
                  <a:schemeClr val="lt1"/>
                </a:solidFill>
                <a:prstDash val="solid"/>
              </a:ln>
            </spPr>
          </dPt>
          <dPt>
            <idx val="1"/>
            <bubble3D val="0"/>
            <spPr>
              <a:solidFill>
                <a:srgbClr val="EA0B13"/>
              </a:solidFill>
              <a:ln w="19050">
                <a:solidFill>
                  <a:schemeClr val="lt1"/>
                </a:solidFill>
                <a:prstDash val="solid"/>
              </a:ln>
            </spPr>
          </dPt>
          <dPt>
            <idx val="2"/>
            <bubble3D val="0"/>
            <spPr>
              <a:solidFill>
                <a:srgbClr val="F21B30"/>
              </a:solidFill>
              <a:ln w="19050">
                <a:solidFill>
                  <a:schemeClr val="lt1"/>
                </a:solidFill>
                <a:prstDash val="solid"/>
              </a:ln>
            </spPr>
          </dPt>
          <dPt>
            <idx val="3"/>
            <bubble3D val="0"/>
            <spPr>
              <a:solidFill>
                <a:srgbClr val="E97B7E"/>
              </a:solidFill>
              <a:ln w="19050">
                <a:solidFill>
                  <a:schemeClr val="lt1"/>
                </a:solidFill>
                <a:prstDash val="solid"/>
              </a:ln>
            </spPr>
          </dPt>
          <dPt>
            <idx val="4"/>
            <bubble3D val="0"/>
            <spPr>
              <a:solidFill>
                <a:srgbClr val="F0BEC0"/>
              </a:solidFill>
              <a:ln w="19050">
                <a:solidFill>
                  <a:schemeClr val="lt1"/>
                </a:solidFill>
                <a:prstDash val="solid"/>
              </a:ln>
            </spPr>
          </dPt>
          <dPt>
            <idx val="5"/>
            <bubble3D val="0"/>
            <spPr>
              <a:solidFill>
                <a:schemeClr val="bg1">
                  <a:lumMod val="95000"/>
                </a:schemeClr>
              </a:solidFill>
              <a:ln w="19050">
                <a:solidFill>
                  <a:schemeClr val="lt1"/>
                </a:solidFill>
                <a:prstDash val="solid"/>
              </a:ln>
            </spPr>
          </dPt>
          <cat>
            <multiLvlStrRef>
              <f>Calculation!$I$35:$I$40</f>
            </multiLvlStrRef>
          </cat>
          <val>
            <numRef>
              <f>Calculation!$J$35:$J$40</f>
              <numCache>
                <formatCode>_(* #,##0_);_(* \(#,##0\);_(* "-"??_);_(@_)</formatCode>
                <ptCount val="6"/>
                <pt idx="0">
                  <v>0</v>
                </pt>
                <pt idx="1">
                  <v>0</v>
                </pt>
                <pt idx="2">
                  <v>0</v>
                </pt>
                <pt idx="3">
                  <v>0</v>
                </pt>
                <pt idx="4">
                  <v>0</v>
                </pt>
                <pt idx="5">
                  <v>0</v>
                </pt>
              </numCache>
            </numRef>
          </val>
        </ser>
        <dLbls>
          <showLegendKey val="0"/>
          <showVal val="0"/>
          <showCatName val="0"/>
          <showSerName val="0"/>
          <showPercent val="0"/>
          <showBubbleSize val="0"/>
          <showLeaderLines val="1"/>
        </dLbls>
        <firstSliceAng val="0"/>
        <holeSize val="75"/>
      </doughnutChart>
    </plotArea>
    <plotVisOnly val="1"/>
    <dispBlanksAs val="gap"/>
  </chart>
  <spPr>
    <a:noFill/>
    <a:ln w="9525" cap="flat" cmpd="sng" algn="ctr">
      <a:noFill/>
      <a:prstDash val="solid"/>
      <a:round/>
    </a:ln>
  </spPr>
</chartSpace>
</file>

<file path=xl/charts/chart2.xml><?xml version="1.0" encoding="utf-8"?>
<chartSpace xmlns:a="http://schemas.openxmlformats.org/drawingml/2006/main" xmlns="http://schemas.openxmlformats.org/drawingml/2006/chart">
  <chart>
    <plotArea>
      <layout/>
      <doughnutChart>
        <varyColors val="1"/>
        <ser>
          <idx val="0"/>
          <order val="0"/>
          <spPr>
            <a:ln>
              <a:prstDash val="solid"/>
            </a:ln>
          </spPr>
          <dPt>
            <idx val="0"/>
            <bubble3D val="0"/>
            <spPr>
              <a:solidFill>
                <a:schemeClr val="tx2">
                  <a:lumMod val="90000"/>
                  <a:lumOff val="10000"/>
                </a:schemeClr>
              </a:solidFill>
              <a:ln w="19050">
                <a:solidFill>
                  <a:schemeClr val="lt1"/>
                </a:solidFill>
                <a:prstDash val="solid"/>
              </a:ln>
            </spPr>
          </dPt>
          <dPt>
            <idx val="1"/>
            <bubble3D val="0"/>
            <spPr>
              <a:solidFill>
                <a:schemeClr val="tx2">
                  <a:lumMod val="75000"/>
                  <a:lumOff val="25000"/>
                </a:schemeClr>
              </a:solidFill>
              <a:ln w="19050">
                <a:solidFill>
                  <a:schemeClr val="lt1"/>
                </a:solidFill>
                <a:prstDash val="solid"/>
              </a:ln>
            </spPr>
          </dPt>
          <dPt>
            <idx val="2"/>
            <bubble3D val="0"/>
            <spPr>
              <a:solidFill>
                <a:schemeClr val="tx2">
                  <a:lumMod val="50000"/>
                  <a:lumOff val="50000"/>
                </a:schemeClr>
              </a:solidFill>
              <a:ln w="19050">
                <a:solidFill>
                  <a:schemeClr val="lt1"/>
                </a:solidFill>
                <a:prstDash val="solid"/>
              </a:ln>
            </spPr>
          </dPt>
          <dPt>
            <idx val="3"/>
            <bubble3D val="0"/>
            <spPr>
              <a:solidFill>
                <a:schemeClr val="tx2">
                  <a:lumMod val="25000"/>
                  <a:lumOff val="75000"/>
                </a:schemeClr>
              </a:solidFill>
              <a:ln w="19050">
                <a:solidFill>
                  <a:schemeClr val="lt1"/>
                </a:solidFill>
                <a:prstDash val="solid"/>
              </a:ln>
            </spPr>
          </dPt>
          <dPt>
            <idx val="4"/>
            <bubble3D val="0"/>
            <spPr>
              <a:solidFill>
                <a:schemeClr val="tx2">
                  <a:lumMod val="10000"/>
                  <a:lumOff val="90000"/>
                </a:schemeClr>
              </a:solidFill>
              <a:ln w="19050">
                <a:solidFill>
                  <a:schemeClr val="lt1"/>
                </a:solidFill>
                <a:prstDash val="solid"/>
              </a:ln>
            </spPr>
          </dPt>
          <dPt>
            <idx val="5"/>
            <bubble3D val="0"/>
            <spPr>
              <a:solidFill>
                <a:schemeClr val="bg1">
                  <a:lumMod val="95000"/>
                </a:schemeClr>
              </a:solidFill>
              <a:ln w="19050">
                <a:solidFill>
                  <a:schemeClr val="lt1"/>
                </a:solidFill>
                <a:prstDash val="solid"/>
              </a:ln>
            </spPr>
          </dPt>
          <cat>
            <multiLvlStrRef>
              <f>Calculation!$M$35:$M$40</f>
            </multiLvlStrRef>
          </cat>
          <val>
            <numRef>
              <f>Calculation!$N$35:$N$40</f>
              <numCache>
                <formatCode>_(* #,##0_);_(* \(#,##0\);_(* "-"??_);_(@_)</formatCode>
                <ptCount val="6"/>
                <pt idx="0">
                  <v>0</v>
                </pt>
                <pt idx="1">
                  <v>0</v>
                </pt>
                <pt idx="2">
                  <v>0</v>
                </pt>
                <pt idx="3">
                  <v>0</v>
                </pt>
                <pt idx="4">
                  <v>0</v>
                </pt>
                <pt idx="5">
                  <v>0</v>
                </pt>
              </numCache>
            </numRef>
          </val>
        </ser>
        <dLbls>
          <showLegendKey val="0"/>
          <showVal val="0"/>
          <showCatName val="0"/>
          <showSerName val="0"/>
          <showPercent val="0"/>
          <showBubbleSize val="0"/>
          <showLeaderLines val="1"/>
        </dLbls>
        <firstSliceAng val="0"/>
        <holeSize val="75"/>
      </doughnutChart>
    </plotArea>
    <plotVisOnly val="1"/>
    <dispBlanksAs val="gap"/>
  </chart>
  <spPr>
    <a:noFill/>
    <a:ln w="9525" cap="flat" cmpd="sng" algn="ctr">
      <a:noFill/>
      <a:prstDash val="solid"/>
      <a:round/>
    </a:ln>
  </spPr>
</chartSpace>
</file>

<file path=xl/charts/chart3.xml><?xml version="1.0" encoding="utf-8"?>
<chartSpace xmlns:a="http://schemas.openxmlformats.org/drawingml/2006/main" xmlns="http://schemas.openxmlformats.org/drawingml/2006/chart">
  <chart>
    <plotArea>
      <layout/>
      <doughnutChart>
        <varyColors val="1"/>
        <ser>
          <idx val="0"/>
          <order val="0"/>
          <spPr>
            <a:ln>
              <a:prstDash val="solid"/>
            </a:ln>
          </spPr>
          <dPt>
            <idx val="0"/>
            <bubble3D val="0"/>
            <spPr>
              <a:solidFill>
                <a:schemeClr val="accent6">
                  <a:lumMod val="50000"/>
                </a:schemeClr>
              </a:solidFill>
              <a:ln w="19050">
                <a:solidFill>
                  <a:schemeClr val="lt1"/>
                </a:solidFill>
                <a:prstDash val="solid"/>
              </a:ln>
            </spPr>
          </dPt>
          <dPt>
            <idx val="1"/>
            <bubble3D val="0"/>
            <spPr>
              <a:solidFill>
                <a:schemeClr val="accent6">
                  <a:lumMod val="75000"/>
                </a:schemeClr>
              </a:solidFill>
              <a:ln w="19050">
                <a:solidFill>
                  <a:schemeClr val="lt1"/>
                </a:solidFill>
                <a:prstDash val="solid"/>
              </a:ln>
            </spPr>
          </dPt>
          <dPt>
            <idx val="2"/>
            <bubble3D val="0"/>
            <spPr>
              <a:solidFill>
                <a:schemeClr val="accent6">
                  <a:lumMod val="60000"/>
                  <a:lumOff val="40000"/>
                </a:schemeClr>
              </a:solidFill>
              <a:ln w="19050">
                <a:solidFill>
                  <a:schemeClr val="lt1"/>
                </a:solidFill>
                <a:prstDash val="solid"/>
              </a:ln>
            </spPr>
          </dPt>
          <dPt>
            <idx val="3"/>
            <bubble3D val="0"/>
            <spPr>
              <a:solidFill>
                <a:schemeClr val="accent6">
                  <a:lumMod val="40000"/>
                  <a:lumOff val="60000"/>
                </a:schemeClr>
              </a:solidFill>
              <a:ln w="19050">
                <a:solidFill>
                  <a:schemeClr val="lt1"/>
                </a:solidFill>
                <a:prstDash val="solid"/>
              </a:ln>
            </spPr>
          </dPt>
          <dPt>
            <idx val="4"/>
            <bubble3D val="0"/>
            <spPr>
              <a:solidFill>
                <a:schemeClr val="accent6">
                  <a:lumMod val="20000"/>
                  <a:lumOff val="80000"/>
                </a:schemeClr>
              </a:solidFill>
              <a:ln w="19050">
                <a:solidFill>
                  <a:schemeClr val="lt1"/>
                </a:solidFill>
                <a:prstDash val="solid"/>
              </a:ln>
            </spPr>
          </dPt>
          <dPt>
            <idx val="5"/>
            <bubble3D val="0"/>
            <spPr>
              <a:solidFill>
                <a:schemeClr val="bg1">
                  <a:lumMod val="95000"/>
                </a:schemeClr>
              </a:solidFill>
              <a:ln w="19050">
                <a:solidFill>
                  <a:schemeClr val="lt1"/>
                </a:solidFill>
                <a:prstDash val="solid"/>
              </a:ln>
            </spPr>
          </dPt>
          <cat>
            <multiLvlStrRef>
              <f>Calculation!$E$35:$E$40</f>
            </multiLvlStrRef>
          </cat>
          <val>
            <numRef>
              <f>Calculation!$F$35:$F$40</f>
              <numCache>
                <formatCode>_(* #,##0_);_(* \(#,##0\);_(* "-"??_);_(@_)</formatCode>
                <ptCount val="6"/>
                <pt idx="0">
                  <v>0</v>
                </pt>
                <pt idx="1">
                  <v>0</v>
                </pt>
                <pt idx="2">
                  <v>0</v>
                </pt>
                <pt idx="3">
                  <v>0</v>
                </pt>
                <pt idx="4">
                  <v>0</v>
                </pt>
                <pt idx="5">
                  <v>0</v>
                </pt>
              </numCache>
            </numRef>
          </val>
        </ser>
        <dLbls>
          <showLegendKey val="0"/>
          <showVal val="0"/>
          <showCatName val="0"/>
          <showSerName val="0"/>
          <showPercent val="0"/>
          <showBubbleSize val="0"/>
          <showLeaderLines val="1"/>
        </dLbls>
        <firstSliceAng val="0"/>
        <holeSize val="75"/>
      </doughnutChart>
    </plotArea>
    <plotVisOnly val="1"/>
    <dispBlanksAs val="gap"/>
  </chart>
  <spPr>
    <a:noFill/>
    <a:ln w="9525" cap="flat" cmpd="sng" algn="ctr">
      <a:noFill/>
      <a:prstDash val="solid"/>
      <a:round/>
    </a:ln>
  </spPr>
</chartSpace>
</file>

<file path=xl/charts/chart4.xml><?xml version="1.0" encoding="utf-8"?>
<chartSpace xmlns:a="http://schemas.openxmlformats.org/drawingml/2006/main" xmlns="http://schemas.openxmlformats.org/drawingml/2006/chart">
  <chart>
    <plotArea>
      <layout/>
      <barChart>
        <barDir val="col"/>
        <grouping val="stacked"/>
        <varyColors val="0"/>
        <ser>
          <idx val="0"/>
          <order val="0"/>
          <spPr>
            <a:solidFill>
              <a:schemeClr val="accent6">
                <a:lumMod val="60000"/>
                <a:lumOff val="40000"/>
              </a:schemeClr>
            </a:solidFill>
            <a:ln>
              <a:noFill/>
              <a:prstDash val="solid"/>
            </a:ln>
          </spPr>
          <invertIfNegative val="0"/>
          <dPt>
            <idx val="0"/>
            <invertIfNegative val="0"/>
            <bubble3D val="0"/>
            <spPr>
              <a:solidFill>
                <a:schemeClr val="accent6">
                  <a:lumMod val="60000"/>
                  <a:lumOff val="40000"/>
                </a:schemeClr>
              </a:solidFill>
              <a:ln>
                <a:noFill/>
                <a:prstDash val="solid"/>
              </a:ln>
            </spPr>
          </dPt>
          <dPt>
            <idx val="1"/>
            <invertIfNegative val="0"/>
            <bubble3D val="0"/>
            <spPr>
              <a:solidFill>
                <a:srgbClr val="F90412"/>
              </a:solidFill>
              <a:ln>
                <a:noFill/>
                <a:prstDash val="solid"/>
              </a:ln>
            </spPr>
          </dPt>
          <dPt>
            <idx val="2"/>
            <invertIfNegative val="0"/>
            <bubble3D val="0"/>
            <spPr>
              <a:solidFill>
                <a:schemeClr val="tx2">
                  <a:lumMod val="50000"/>
                  <a:lumOff val="50000"/>
                </a:schemeClr>
              </a:solidFill>
              <a:ln>
                <a:noFill/>
                <a:prstDash val="solid"/>
              </a:ln>
            </spPr>
          </dPt>
          <dPt>
            <idx val="5"/>
            <invertIfNegative val="0"/>
            <bubble3D val="0"/>
            <spPr>
              <a:solidFill>
                <a:srgbClr val="F90412"/>
              </a:solidFill>
              <a:ln>
                <a:noFill/>
                <a:prstDash val="solid"/>
              </a:ln>
            </spPr>
          </dPt>
          <dPt>
            <idx val="6"/>
            <invertIfNegative val="0"/>
            <bubble3D val="0"/>
            <spPr>
              <a:solidFill>
                <a:schemeClr val="tx2">
                  <a:lumMod val="50000"/>
                  <a:lumOff val="50000"/>
                </a:schemeClr>
              </a:solidFill>
              <a:ln>
                <a:noFill/>
                <a:prstDash val="solid"/>
              </a:ln>
            </spPr>
          </dPt>
          <dPt>
            <idx val="9"/>
            <invertIfNegative val="0"/>
            <bubble3D val="0"/>
            <spPr>
              <a:solidFill>
                <a:srgbClr val="F90412"/>
              </a:solidFill>
              <a:ln>
                <a:noFill/>
                <a:prstDash val="solid"/>
              </a:ln>
            </spPr>
          </dPt>
          <dPt>
            <idx val="10"/>
            <invertIfNegative val="0"/>
            <bubble3D val="0"/>
            <spPr>
              <a:solidFill>
                <a:schemeClr val="tx2">
                  <a:lumMod val="50000"/>
                  <a:lumOff val="50000"/>
                </a:schemeClr>
              </a:solidFill>
              <a:ln>
                <a:noFill/>
                <a:prstDash val="solid"/>
              </a:ln>
            </spPr>
          </dPt>
          <dPt>
            <idx val="13"/>
            <invertIfNegative val="0"/>
            <bubble3D val="0"/>
            <spPr>
              <a:solidFill>
                <a:srgbClr val="F90412"/>
              </a:solidFill>
              <a:ln>
                <a:noFill/>
                <a:prstDash val="solid"/>
              </a:ln>
            </spPr>
          </dPt>
          <dPt>
            <idx val="14"/>
            <invertIfNegative val="0"/>
            <bubble3D val="0"/>
            <spPr>
              <a:solidFill>
                <a:schemeClr val="tx2">
                  <a:lumMod val="50000"/>
                  <a:lumOff val="50000"/>
                </a:schemeClr>
              </a:solidFill>
              <a:ln>
                <a:noFill/>
                <a:prstDash val="solid"/>
              </a:ln>
            </spPr>
          </dPt>
          <dPt>
            <idx val="17"/>
            <invertIfNegative val="0"/>
            <bubble3D val="0"/>
            <spPr>
              <a:solidFill>
                <a:srgbClr val="F90412"/>
              </a:solidFill>
              <a:ln>
                <a:noFill/>
                <a:prstDash val="solid"/>
              </a:ln>
            </spPr>
          </dPt>
          <dPt>
            <idx val="18"/>
            <invertIfNegative val="0"/>
            <bubble3D val="0"/>
            <spPr>
              <a:solidFill>
                <a:schemeClr val="tx2">
                  <a:lumMod val="50000"/>
                  <a:lumOff val="50000"/>
                </a:schemeClr>
              </a:solidFill>
              <a:ln>
                <a:noFill/>
                <a:prstDash val="solid"/>
              </a:ln>
            </spPr>
          </dPt>
          <dPt>
            <idx val="21"/>
            <invertIfNegative val="0"/>
            <bubble3D val="0"/>
            <spPr>
              <a:solidFill>
                <a:srgbClr val="F90412"/>
              </a:solidFill>
              <a:ln>
                <a:noFill/>
                <a:prstDash val="solid"/>
              </a:ln>
            </spPr>
          </dPt>
          <dPt>
            <idx val="22"/>
            <invertIfNegative val="0"/>
            <bubble3D val="0"/>
            <spPr>
              <a:solidFill>
                <a:schemeClr val="tx2">
                  <a:lumMod val="50000"/>
                  <a:lumOff val="50000"/>
                </a:schemeClr>
              </a:solidFill>
              <a:ln>
                <a:noFill/>
                <a:prstDash val="solid"/>
              </a:ln>
            </spPr>
          </dPt>
          <dPt>
            <idx val="25"/>
            <invertIfNegative val="0"/>
            <bubble3D val="0"/>
            <spPr>
              <a:solidFill>
                <a:srgbClr val="F90412"/>
              </a:solidFill>
              <a:ln>
                <a:noFill/>
                <a:prstDash val="solid"/>
              </a:ln>
            </spPr>
          </dPt>
          <dPt>
            <idx val="26"/>
            <invertIfNegative val="0"/>
            <bubble3D val="0"/>
            <spPr>
              <a:solidFill>
                <a:schemeClr val="tx2">
                  <a:lumMod val="50000"/>
                  <a:lumOff val="50000"/>
                </a:schemeClr>
              </a:solidFill>
              <a:ln>
                <a:noFill/>
                <a:prstDash val="solid"/>
              </a:ln>
            </spPr>
          </dPt>
          <dPt>
            <idx val="29"/>
            <invertIfNegative val="0"/>
            <bubble3D val="0"/>
            <spPr>
              <a:solidFill>
                <a:srgbClr val="F90412"/>
              </a:solidFill>
              <a:ln>
                <a:noFill/>
                <a:prstDash val="solid"/>
              </a:ln>
            </spPr>
          </dPt>
          <dPt>
            <idx val="30"/>
            <invertIfNegative val="0"/>
            <bubble3D val="0"/>
            <spPr>
              <a:solidFill>
                <a:schemeClr val="tx2">
                  <a:lumMod val="50000"/>
                  <a:lumOff val="50000"/>
                </a:schemeClr>
              </a:solidFill>
              <a:ln>
                <a:noFill/>
                <a:prstDash val="solid"/>
              </a:ln>
            </spPr>
          </dPt>
          <dPt>
            <idx val="33"/>
            <invertIfNegative val="0"/>
            <bubble3D val="0"/>
            <spPr>
              <a:solidFill>
                <a:srgbClr val="F90412"/>
              </a:solidFill>
              <a:ln>
                <a:noFill/>
                <a:prstDash val="solid"/>
              </a:ln>
            </spPr>
          </dPt>
          <dPt>
            <idx val="34"/>
            <invertIfNegative val="0"/>
            <bubble3D val="0"/>
            <spPr>
              <a:solidFill>
                <a:schemeClr val="tx2">
                  <a:lumMod val="50000"/>
                  <a:lumOff val="50000"/>
                </a:schemeClr>
              </a:solidFill>
              <a:ln>
                <a:noFill/>
                <a:prstDash val="solid"/>
              </a:ln>
            </spPr>
          </dPt>
          <dPt>
            <idx val="37"/>
            <invertIfNegative val="0"/>
            <bubble3D val="0"/>
            <spPr>
              <a:solidFill>
                <a:srgbClr val="F90412"/>
              </a:solidFill>
              <a:ln>
                <a:noFill/>
                <a:prstDash val="solid"/>
              </a:ln>
            </spPr>
          </dPt>
          <dPt>
            <idx val="38"/>
            <invertIfNegative val="0"/>
            <bubble3D val="0"/>
            <spPr>
              <a:solidFill>
                <a:schemeClr val="tx2">
                  <a:lumMod val="50000"/>
                  <a:lumOff val="50000"/>
                </a:schemeClr>
              </a:solidFill>
              <a:ln>
                <a:noFill/>
                <a:prstDash val="solid"/>
              </a:ln>
            </spPr>
          </dPt>
          <dPt>
            <idx val="41"/>
            <invertIfNegative val="0"/>
            <bubble3D val="0"/>
            <spPr>
              <a:solidFill>
                <a:srgbClr val="F90412"/>
              </a:solidFill>
              <a:ln>
                <a:noFill/>
                <a:prstDash val="solid"/>
              </a:ln>
            </spPr>
          </dPt>
          <dPt>
            <idx val="42"/>
            <invertIfNegative val="0"/>
            <bubble3D val="0"/>
            <spPr>
              <a:solidFill>
                <a:schemeClr val="tx2">
                  <a:lumMod val="50000"/>
                  <a:lumOff val="50000"/>
                </a:schemeClr>
              </a:solidFill>
              <a:ln>
                <a:noFill/>
                <a:prstDash val="solid"/>
              </a:ln>
            </spPr>
          </dPt>
          <dPt>
            <idx val="45"/>
            <invertIfNegative val="0"/>
            <bubble3D val="0"/>
            <spPr>
              <a:solidFill>
                <a:srgbClr val="F90412"/>
              </a:solidFill>
              <a:ln>
                <a:noFill/>
                <a:prstDash val="solid"/>
              </a:ln>
            </spPr>
          </dPt>
          <dPt>
            <idx val="46"/>
            <invertIfNegative val="0"/>
            <bubble3D val="0"/>
            <spPr>
              <a:solidFill>
                <a:schemeClr val="tx2">
                  <a:lumMod val="50000"/>
                  <a:lumOff val="50000"/>
                </a:schemeClr>
              </a:solidFill>
              <a:ln>
                <a:noFill/>
                <a:prstDash val="solid"/>
              </a:ln>
            </spPr>
          </dPt>
          <cat>
            <numRef>
              <f>Calculation!$D$55:$D$102</f>
              <numCache>
                <formatCode>mmm</formatCode>
                <ptCount val="48"/>
                <pt idx="0">
                  <v>45658</v>
                </pt>
                <pt idx="4">
                  <v>45689</v>
                </pt>
                <pt idx="8">
                  <v>45717</v>
                </pt>
                <pt idx="12">
                  <v>45748</v>
                </pt>
                <pt idx="16">
                  <v>45778</v>
                </pt>
                <pt idx="20">
                  <v>45809</v>
                </pt>
                <pt idx="24">
                  <v>45839</v>
                </pt>
                <pt idx="28">
                  <v>45870</v>
                </pt>
                <pt idx="32">
                  <v>45901</v>
                </pt>
                <pt idx="36">
                  <v>45931</v>
                </pt>
                <pt idx="40">
                  <v>45962</v>
                </pt>
                <pt idx="44">
                  <v>45992</v>
                </pt>
              </numCache>
            </numRef>
          </cat>
          <val>
            <numRef>
              <f>Calculation!$M$55:$M$102</f>
              <numCache>
                <formatCode>_(* #,##0_);_(* \(#,##0\);_(* "-"??_);_(@_)</formatCode>
                <ptCount val="48"/>
                <pt idx="0">
                  <v>0</v>
                </pt>
                <pt idx="1">
                  <v>0</v>
                </pt>
                <pt idx="2">
                  <v>0</v>
                </pt>
                <pt idx="4">
                  <v>0</v>
                </pt>
                <pt idx="5">
                  <v>0</v>
                </pt>
                <pt idx="6">
                  <v>0</v>
                </pt>
                <pt idx="8">
                  <v>0</v>
                </pt>
                <pt idx="9">
                  <v>0</v>
                </pt>
                <pt idx="10">
                  <v>0</v>
                </pt>
                <pt idx="12">
                  <v>0</v>
                </pt>
                <pt idx="13">
                  <v>0</v>
                </pt>
                <pt idx="14">
                  <v>0</v>
                </pt>
                <pt idx="16">
                  <v>0</v>
                </pt>
                <pt idx="17">
                  <v>0</v>
                </pt>
                <pt idx="18">
                  <v>0</v>
                </pt>
                <pt idx="20">
                  <v>0</v>
                </pt>
                <pt idx="21">
                  <v>0</v>
                </pt>
                <pt idx="22">
                  <v>0</v>
                </pt>
                <pt idx="24">
                  <v>0</v>
                </pt>
                <pt idx="25">
                  <v>0</v>
                </pt>
                <pt idx="26">
                  <v>0</v>
                </pt>
                <pt idx="28">
                  <v>0</v>
                </pt>
                <pt idx="29">
                  <v>0</v>
                </pt>
                <pt idx="30">
                  <v>0</v>
                </pt>
                <pt idx="32">
                  <v>0</v>
                </pt>
                <pt idx="33">
                  <v>0</v>
                </pt>
                <pt idx="34">
                  <v>0</v>
                </pt>
                <pt idx="36">
                  <v>0</v>
                </pt>
                <pt idx="37">
                  <v>0</v>
                </pt>
                <pt idx="38">
                  <v>0</v>
                </pt>
                <pt idx="40">
                  <v>0</v>
                </pt>
                <pt idx="41">
                  <v>0</v>
                </pt>
                <pt idx="42">
                  <v>0</v>
                </pt>
                <pt idx="44">
                  <v>0</v>
                </pt>
                <pt idx="45">
                  <v>0</v>
                </pt>
                <pt idx="46">
                  <v>0</v>
                </pt>
              </numCache>
            </numRef>
          </val>
        </ser>
        <ser>
          <idx val="1"/>
          <order val="1"/>
          <spPr>
            <a:solidFill>
              <a:schemeClr val="accent6">
                <a:lumMod val="20000"/>
                <a:lumOff val="80000"/>
              </a:schemeClr>
            </a:solidFill>
            <a:ln>
              <a:noFill/>
              <a:prstDash val="solid"/>
            </a:ln>
          </spPr>
          <invertIfNegative val="0"/>
          <dPt>
            <idx val="1"/>
            <invertIfNegative val="0"/>
            <bubble3D val="0"/>
            <spPr>
              <a:solidFill>
                <a:srgbClr val="F0BEC0"/>
              </a:solidFill>
              <a:ln>
                <a:noFill/>
                <a:prstDash val="solid"/>
              </a:ln>
            </spPr>
          </dPt>
          <dPt>
            <idx val="2"/>
            <invertIfNegative val="0"/>
            <bubble3D val="0"/>
            <spPr>
              <a:solidFill>
                <a:schemeClr val="tx2">
                  <a:lumMod val="10000"/>
                  <a:lumOff val="90000"/>
                </a:schemeClr>
              </a:solidFill>
              <a:ln>
                <a:noFill/>
                <a:prstDash val="solid"/>
              </a:ln>
            </spPr>
          </dPt>
          <dPt>
            <idx val="5"/>
            <invertIfNegative val="0"/>
            <bubble3D val="0"/>
            <spPr>
              <a:solidFill>
                <a:srgbClr val="F0BEC0"/>
              </a:solidFill>
              <a:ln>
                <a:noFill/>
                <a:prstDash val="solid"/>
              </a:ln>
            </spPr>
          </dPt>
          <dPt>
            <idx val="6"/>
            <invertIfNegative val="0"/>
            <bubble3D val="0"/>
            <spPr>
              <a:solidFill>
                <a:schemeClr val="tx2">
                  <a:lumMod val="10000"/>
                  <a:lumOff val="90000"/>
                </a:schemeClr>
              </a:solidFill>
              <a:ln>
                <a:noFill/>
                <a:prstDash val="solid"/>
              </a:ln>
            </spPr>
          </dPt>
          <dPt>
            <idx val="9"/>
            <invertIfNegative val="0"/>
            <bubble3D val="0"/>
            <spPr>
              <a:solidFill>
                <a:srgbClr val="F0BEC0"/>
              </a:solidFill>
              <a:ln>
                <a:noFill/>
                <a:prstDash val="solid"/>
              </a:ln>
            </spPr>
          </dPt>
          <dPt>
            <idx val="10"/>
            <invertIfNegative val="0"/>
            <bubble3D val="0"/>
            <spPr>
              <a:solidFill>
                <a:schemeClr val="tx2">
                  <a:lumMod val="10000"/>
                  <a:lumOff val="90000"/>
                </a:schemeClr>
              </a:solidFill>
              <a:ln>
                <a:noFill/>
                <a:prstDash val="solid"/>
              </a:ln>
            </spPr>
          </dPt>
          <dPt>
            <idx val="13"/>
            <invertIfNegative val="0"/>
            <bubble3D val="0"/>
            <spPr>
              <a:solidFill>
                <a:srgbClr val="F0BEC0"/>
              </a:solidFill>
              <a:ln>
                <a:noFill/>
                <a:prstDash val="solid"/>
              </a:ln>
            </spPr>
          </dPt>
          <dPt>
            <idx val="14"/>
            <invertIfNegative val="0"/>
            <bubble3D val="0"/>
            <spPr>
              <a:solidFill>
                <a:schemeClr val="tx2">
                  <a:lumMod val="10000"/>
                  <a:lumOff val="90000"/>
                </a:schemeClr>
              </a:solidFill>
              <a:ln>
                <a:noFill/>
                <a:prstDash val="solid"/>
              </a:ln>
            </spPr>
          </dPt>
          <dPt>
            <idx val="17"/>
            <invertIfNegative val="0"/>
            <bubble3D val="0"/>
            <spPr>
              <a:solidFill>
                <a:srgbClr val="F0BEC0"/>
              </a:solidFill>
              <a:ln>
                <a:noFill/>
                <a:prstDash val="solid"/>
              </a:ln>
            </spPr>
          </dPt>
          <dPt>
            <idx val="18"/>
            <invertIfNegative val="0"/>
            <bubble3D val="0"/>
            <spPr>
              <a:solidFill>
                <a:schemeClr val="tx2">
                  <a:lumMod val="10000"/>
                  <a:lumOff val="90000"/>
                </a:schemeClr>
              </a:solidFill>
              <a:ln>
                <a:noFill/>
                <a:prstDash val="solid"/>
              </a:ln>
            </spPr>
          </dPt>
          <dPt>
            <idx val="21"/>
            <invertIfNegative val="0"/>
            <bubble3D val="0"/>
            <spPr>
              <a:solidFill>
                <a:srgbClr val="F0BEC0"/>
              </a:solidFill>
              <a:ln>
                <a:noFill/>
                <a:prstDash val="solid"/>
              </a:ln>
            </spPr>
          </dPt>
          <dPt>
            <idx val="22"/>
            <invertIfNegative val="0"/>
            <bubble3D val="0"/>
            <spPr>
              <a:solidFill>
                <a:schemeClr val="tx2">
                  <a:lumMod val="10000"/>
                  <a:lumOff val="90000"/>
                </a:schemeClr>
              </a:solidFill>
              <a:ln>
                <a:noFill/>
                <a:prstDash val="solid"/>
              </a:ln>
            </spPr>
          </dPt>
          <dPt>
            <idx val="25"/>
            <invertIfNegative val="0"/>
            <bubble3D val="0"/>
            <spPr>
              <a:solidFill>
                <a:srgbClr val="F0BEC0"/>
              </a:solidFill>
              <a:ln>
                <a:noFill/>
                <a:prstDash val="solid"/>
              </a:ln>
            </spPr>
          </dPt>
          <dPt>
            <idx val="26"/>
            <invertIfNegative val="0"/>
            <bubble3D val="0"/>
            <spPr>
              <a:solidFill>
                <a:schemeClr val="tx2">
                  <a:lumMod val="10000"/>
                  <a:lumOff val="90000"/>
                </a:schemeClr>
              </a:solidFill>
              <a:ln>
                <a:noFill/>
                <a:prstDash val="solid"/>
              </a:ln>
            </spPr>
          </dPt>
          <dPt>
            <idx val="29"/>
            <invertIfNegative val="0"/>
            <bubble3D val="0"/>
            <spPr>
              <a:solidFill>
                <a:srgbClr val="F0BEC0"/>
              </a:solidFill>
              <a:ln>
                <a:noFill/>
                <a:prstDash val="solid"/>
              </a:ln>
            </spPr>
          </dPt>
          <dPt>
            <idx val="30"/>
            <invertIfNegative val="0"/>
            <bubble3D val="0"/>
            <spPr>
              <a:solidFill>
                <a:schemeClr val="tx2">
                  <a:lumMod val="10000"/>
                  <a:lumOff val="90000"/>
                </a:schemeClr>
              </a:solidFill>
              <a:ln>
                <a:noFill/>
                <a:prstDash val="solid"/>
              </a:ln>
            </spPr>
          </dPt>
          <dPt>
            <idx val="33"/>
            <invertIfNegative val="0"/>
            <bubble3D val="0"/>
            <spPr>
              <a:solidFill>
                <a:srgbClr val="F0BEC0"/>
              </a:solidFill>
              <a:ln>
                <a:noFill/>
                <a:prstDash val="solid"/>
              </a:ln>
            </spPr>
          </dPt>
          <dPt>
            <idx val="34"/>
            <invertIfNegative val="0"/>
            <bubble3D val="0"/>
            <spPr>
              <a:solidFill>
                <a:schemeClr val="tx2">
                  <a:lumMod val="10000"/>
                  <a:lumOff val="90000"/>
                </a:schemeClr>
              </a:solidFill>
              <a:ln>
                <a:noFill/>
                <a:prstDash val="solid"/>
              </a:ln>
            </spPr>
          </dPt>
          <dPt>
            <idx val="37"/>
            <invertIfNegative val="0"/>
            <bubble3D val="0"/>
            <spPr>
              <a:solidFill>
                <a:srgbClr val="F0BEC0"/>
              </a:solidFill>
              <a:ln>
                <a:noFill/>
                <a:prstDash val="solid"/>
              </a:ln>
            </spPr>
          </dPt>
          <dPt>
            <idx val="38"/>
            <invertIfNegative val="0"/>
            <bubble3D val="0"/>
            <spPr>
              <a:solidFill>
                <a:schemeClr val="tx2">
                  <a:lumMod val="10000"/>
                  <a:lumOff val="90000"/>
                </a:schemeClr>
              </a:solidFill>
              <a:ln>
                <a:noFill/>
                <a:prstDash val="solid"/>
              </a:ln>
            </spPr>
          </dPt>
          <dPt>
            <idx val="41"/>
            <invertIfNegative val="0"/>
            <bubble3D val="0"/>
            <spPr>
              <a:solidFill>
                <a:srgbClr val="F0BEC0"/>
              </a:solidFill>
              <a:ln>
                <a:noFill/>
                <a:prstDash val="solid"/>
              </a:ln>
            </spPr>
          </dPt>
          <dPt>
            <idx val="42"/>
            <invertIfNegative val="0"/>
            <bubble3D val="0"/>
            <spPr>
              <a:solidFill>
                <a:schemeClr val="tx2">
                  <a:lumMod val="10000"/>
                  <a:lumOff val="90000"/>
                </a:schemeClr>
              </a:solidFill>
              <a:ln>
                <a:noFill/>
                <a:prstDash val="solid"/>
              </a:ln>
            </spPr>
          </dPt>
          <dPt>
            <idx val="45"/>
            <invertIfNegative val="0"/>
            <bubble3D val="0"/>
            <spPr>
              <a:solidFill>
                <a:srgbClr val="F0BEC0"/>
              </a:solidFill>
              <a:ln>
                <a:noFill/>
                <a:prstDash val="solid"/>
              </a:ln>
            </spPr>
          </dPt>
          <dPt>
            <idx val="46"/>
            <invertIfNegative val="0"/>
            <bubble3D val="0"/>
            <spPr>
              <a:solidFill>
                <a:schemeClr val="tx2">
                  <a:lumMod val="10000"/>
                  <a:lumOff val="90000"/>
                </a:schemeClr>
              </a:solidFill>
              <a:ln>
                <a:noFill/>
                <a:prstDash val="solid"/>
              </a:ln>
            </spPr>
          </dPt>
          <cat>
            <numRef>
              <f>Calculation!$D$55:$D$102</f>
              <numCache>
                <formatCode>mmm</formatCode>
                <ptCount val="48"/>
                <pt idx="0">
                  <v>45658</v>
                </pt>
                <pt idx="4">
                  <v>45689</v>
                </pt>
                <pt idx="8">
                  <v>45717</v>
                </pt>
                <pt idx="12">
                  <v>45748</v>
                </pt>
                <pt idx="16">
                  <v>45778</v>
                </pt>
                <pt idx="20">
                  <v>45809</v>
                </pt>
                <pt idx="24">
                  <v>45839</v>
                </pt>
                <pt idx="28">
                  <v>45870</v>
                </pt>
                <pt idx="32">
                  <v>45901</v>
                </pt>
                <pt idx="36">
                  <v>45931</v>
                </pt>
                <pt idx="40">
                  <v>45962</v>
                </pt>
                <pt idx="44">
                  <v>45992</v>
                </pt>
              </numCache>
            </numRef>
          </cat>
          <val>
            <numRef>
              <f>Calculation!$N$55:$N$102</f>
              <numCache>
                <formatCode>_(* #,##0_);_(* \(#,##0\);_(* "-"??_);_(@_)</formatCode>
                <ptCount val="48"/>
                <pt idx="0">
                  <v>0</v>
                </pt>
                <pt idx="1">
                  <v>0</v>
                </pt>
                <pt idx="2">
                  <v>0</v>
                </pt>
                <pt idx="4">
                  <v>0</v>
                </pt>
                <pt idx="5">
                  <v>0</v>
                </pt>
                <pt idx="6">
                  <v>0</v>
                </pt>
                <pt idx="8">
                  <v>0</v>
                </pt>
                <pt idx="9">
                  <v>0</v>
                </pt>
                <pt idx="10">
                  <v>0</v>
                </pt>
                <pt idx="12">
                  <v>0</v>
                </pt>
                <pt idx="13">
                  <v>0</v>
                </pt>
                <pt idx="14">
                  <v>0</v>
                </pt>
                <pt idx="16">
                  <v>0</v>
                </pt>
                <pt idx="17">
                  <v>0</v>
                </pt>
                <pt idx="18">
                  <v>0</v>
                </pt>
                <pt idx="20">
                  <v>0</v>
                </pt>
                <pt idx="21">
                  <v>0</v>
                </pt>
                <pt idx="22">
                  <v>0</v>
                </pt>
                <pt idx="24">
                  <v>0</v>
                </pt>
                <pt idx="25">
                  <v>0</v>
                </pt>
                <pt idx="26">
                  <v>0</v>
                </pt>
                <pt idx="28">
                  <v>0</v>
                </pt>
                <pt idx="29">
                  <v>0</v>
                </pt>
                <pt idx="30">
                  <v>0</v>
                </pt>
                <pt idx="32">
                  <v>0</v>
                </pt>
                <pt idx="33">
                  <v>0</v>
                </pt>
                <pt idx="34">
                  <v>0</v>
                </pt>
                <pt idx="36">
                  <v>0</v>
                </pt>
                <pt idx="37">
                  <v>0</v>
                </pt>
                <pt idx="38">
                  <v>0</v>
                </pt>
                <pt idx="40">
                  <v>0</v>
                </pt>
                <pt idx="41">
                  <v>0</v>
                </pt>
                <pt idx="42">
                  <v>0</v>
                </pt>
                <pt idx="44">
                  <v>0</v>
                </pt>
                <pt idx="45">
                  <v>0</v>
                </pt>
                <pt idx="46">
                  <v>0</v>
                </pt>
              </numCache>
            </numRef>
          </val>
        </ser>
        <ser>
          <idx val="2"/>
          <order val="2"/>
          <spPr>
            <a:solidFill>
              <a:schemeClr val="accent6">
                <a:lumMod val="75000"/>
              </a:schemeClr>
            </a:solidFill>
            <a:ln>
              <a:noFill/>
              <a:prstDash val="solid"/>
            </a:ln>
          </spPr>
          <invertIfNegative val="0"/>
          <dPt>
            <idx val="1"/>
            <invertIfNegative val="0"/>
            <bubble3D val="0"/>
            <spPr>
              <a:solidFill>
                <a:srgbClr val="C81419"/>
              </a:solidFill>
              <a:ln>
                <a:noFill/>
                <a:prstDash val="solid"/>
              </a:ln>
            </spPr>
          </dPt>
          <dPt>
            <idx val="2"/>
            <invertIfNegative val="0"/>
            <bubble3D val="0"/>
            <spPr>
              <a:solidFill>
                <a:schemeClr val="tx2">
                  <a:lumMod val="75000"/>
                  <a:lumOff val="25000"/>
                </a:schemeClr>
              </a:solidFill>
              <a:ln>
                <a:noFill/>
                <a:prstDash val="solid"/>
              </a:ln>
            </spPr>
          </dPt>
          <dPt>
            <idx val="5"/>
            <invertIfNegative val="0"/>
            <bubble3D val="0"/>
            <spPr>
              <a:solidFill>
                <a:srgbClr val="C81419"/>
              </a:solidFill>
              <a:ln>
                <a:noFill/>
                <a:prstDash val="solid"/>
              </a:ln>
            </spPr>
          </dPt>
          <dPt>
            <idx val="6"/>
            <invertIfNegative val="0"/>
            <bubble3D val="0"/>
            <spPr>
              <a:solidFill>
                <a:schemeClr val="tx2">
                  <a:lumMod val="75000"/>
                  <a:lumOff val="25000"/>
                </a:schemeClr>
              </a:solidFill>
              <a:ln>
                <a:noFill/>
                <a:prstDash val="solid"/>
              </a:ln>
            </spPr>
          </dPt>
          <dPt>
            <idx val="9"/>
            <invertIfNegative val="0"/>
            <bubble3D val="0"/>
            <spPr>
              <a:solidFill>
                <a:srgbClr val="C81419"/>
              </a:solidFill>
              <a:ln>
                <a:noFill/>
                <a:prstDash val="solid"/>
              </a:ln>
            </spPr>
          </dPt>
          <dPt>
            <idx val="10"/>
            <invertIfNegative val="0"/>
            <bubble3D val="0"/>
            <spPr>
              <a:solidFill>
                <a:schemeClr val="tx2">
                  <a:lumMod val="75000"/>
                  <a:lumOff val="25000"/>
                </a:schemeClr>
              </a:solidFill>
              <a:ln>
                <a:noFill/>
                <a:prstDash val="solid"/>
              </a:ln>
            </spPr>
          </dPt>
          <dPt>
            <idx val="13"/>
            <invertIfNegative val="0"/>
            <bubble3D val="0"/>
            <spPr>
              <a:solidFill>
                <a:srgbClr val="C00000"/>
              </a:solidFill>
              <a:ln>
                <a:noFill/>
                <a:prstDash val="solid"/>
              </a:ln>
            </spPr>
          </dPt>
          <dPt>
            <idx val="14"/>
            <invertIfNegative val="0"/>
            <bubble3D val="0"/>
            <spPr>
              <a:solidFill>
                <a:schemeClr val="tx2">
                  <a:lumMod val="75000"/>
                  <a:lumOff val="25000"/>
                </a:schemeClr>
              </a:solidFill>
              <a:ln>
                <a:noFill/>
                <a:prstDash val="solid"/>
              </a:ln>
            </spPr>
          </dPt>
          <dPt>
            <idx val="17"/>
            <invertIfNegative val="0"/>
            <bubble3D val="0"/>
            <spPr>
              <a:solidFill>
                <a:srgbClr val="C00000"/>
              </a:solidFill>
              <a:ln>
                <a:noFill/>
                <a:prstDash val="solid"/>
              </a:ln>
            </spPr>
          </dPt>
          <dPt>
            <idx val="18"/>
            <invertIfNegative val="0"/>
            <bubble3D val="0"/>
            <spPr>
              <a:solidFill>
                <a:schemeClr val="tx2">
                  <a:lumMod val="75000"/>
                  <a:lumOff val="25000"/>
                </a:schemeClr>
              </a:solidFill>
              <a:ln>
                <a:noFill/>
                <a:prstDash val="solid"/>
              </a:ln>
            </spPr>
          </dPt>
          <dPt>
            <idx val="21"/>
            <invertIfNegative val="0"/>
            <bubble3D val="0"/>
            <spPr>
              <a:solidFill>
                <a:srgbClr val="C81419"/>
              </a:solidFill>
              <a:ln>
                <a:noFill/>
                <a:prstDash val="solid"/>
              </a:ln>
            </spPr>
          </dPt>
          <dPt>
            <idx val="22"/>
            <invertIfNegative val="0"/>
            <bubble3D val="0"/>
            <spPr>
              <a:solidFill>
                <a:schemeClr val="tx2">
                  <a:lumMod val="75000"/>
                  <a:lumOff val="25000"/>
                </a:schemeClr>
              </a:solidFill>
              <a:ln>
                <a:noFill/>
                <a:prstDash val="solid"/>
              </a:ln>
            </spPr>
          </dPt>
          <dPt>
            <idx val="25"/>
            <invertIfNegative val="0"/>
            <bubble3D val="0"/>
            <spPr>
              <a:solidFill>
                <a:srgbClr val="C81419"/>
              </a:solidFill>
              <a:ln>
                <a:noFill/>
                <a:prstDash val="solid"/>
              </a:ln>
            </spPr>
          </dPt>
          <dPt>
            <idx val="26"/>
            <invertIfNegative val="0"/>
            <bubble3D val="0"/>
            <spPr>
              <a:solidFill>
                <a:schemeClr val="tx2">
                  <a:lumMod val="75000"/>
                  <a:lumOff val="25000"/>
                </a:schemeClr>
              </a:solidFill>
              <a:ln>
                <a:noFill/>
                <a:prstDash val="solid"/>
              </a:ln>
            </spPr>
          </dPt>
          <dPt>
            <idx val="29"/>
            <invertIfNegative val="0"/>
            <bubble3D val="0"/>
            <spPr>
              <a:solidFill>
                <a:srgbClr val="C81419"/>
              </a:solidFill>
              <a:ln>
                <a:noFill/>
                <a:prstDash val="solid"/>
              </a:ln>
            </spPr>
          </dPt>
          <dPt>
            <idx val="30"/>
            <invertIfNegative val="0"/>
            <bubble3D val="0"/>
            <spPr>
              <a:solidFill>
                <a:schemeClr val="tx2">
                  <a:lumMod val="75000"/>
                  <a:lumOff val="25000"/>
                </a:schemeClr>
              </a:solidFill>
              <a:ln>
                <a:noFill/>
                <a:prstDash val="solid"/>
              </a:ln>
            </spPr>
          </dPt>
          <dPt>
            <idx val="33"/>
            <invertIfNegative val="0"/>
            <bubble3D val="0"/>
            <spPr>
              <a:solidFill>
                <a:srgbClr val="C81419"/>
              </a:solidFill>
              <a:ln>
                <a:noFill/>
                <a:prstDash val="solid"/>
              </a:ln>
            </spPr>
          </dPt>
          <dPt>
            <idx val="34"/>
            <invertIfNegative val="0"/>
            <bubble3D val="0"/>
            <spPr>
              <a:solidFill>
                <a:schemeClr val="tx2">
                  <a:lumMod val="75000"/>
                  <a:lumOff val="25000"/>
                </a:schemeClr>
              </a:solidFill>
              <a:ln>
                <a:noFill/>
                <a:prstDash val="solid"/>
              </a:ln>
            </spPr>
          </dPt>
          <dPt>
            <idx val="37"/>
            <invertIfNegative val="0"/>
            <bubble3D val="0"/>
            <spPr>
              <a:solidFill>
                <a:srgbClr val="C81419"/>
              </a:solidFill>
              <a:ln>
                <a:noFill/>
                <a:prstDash val="solid"/>
              </a:ln>
            </spPr>
          </dPt>
          <dPt>
            <idx val="38"/>
            <invertIfNegative val="0"/>
            <bubble3D val="0"/>
            <spPr>
              <a:solidFill>
                <a:schemeClr val="tx2">
                  <a:lumMod val="75000"/>
                  <a:lumOff val="25000"/>
                </a:schemeClr>
              </a:solidFill>
              <a:ln>
                <a:noFill/>
                <a:prstDash val="solid"/>
              </a:ln>
            </spPr>
          </dPt>
          <dPt>
            <idx val="41"/>
            <invertIfNegative val="0"/>
            <bubble3D val="0"/>
            <spPr>
              <a:solidFill>
                <a:srgbClr val="C81419"/>
              </a:solidFill>
              <a:ln>
                <a:noFill/>
                <a:prstDash val="solid"/>
              </a:ln>
            </spPr>
          </dPt>
          <dPt>
            <idx val="42"/>
            <invertIfNegative val="0"/>
            <bubble3D val="0"/>
            <spPr>
              <a:solidFill>
                <a:schemeClr val="tx2">
                  <a:lumMod val="75000"/>
                  <a:lumOff val="25000"/>
                </a:schemeClr>
              </a:solidFill>
              <a:ln>
                <a:noFill/>
                <a:prstDash val="solid"/>
              </a:ln>
            </spPr>
          </dPt>
          <dPt>
            <idx val="45"/>
            <invertIfNegative val="0"/>
            <bubble3D val="0"/>
            <spPr>
              <a:solidFill>
                <a:srgbClr val="C81419"/>
              </a:solidFill>
              <a:ln>
                <a:noFill/>
                <a:prstDash val="solid"/>
              </a:ln>
            </spPr>
          </dPt>
          <dPt>
            <idx val="46"/>
            <invertIfNegative val="0"/>
            <bubble3D val="0"/>
            <spPr>
              <a:solidFill>
                <a:schemeClr val="tx2">
                  <a:lumMod val="75000"/>
                  <a:lumOff val="25000"/>
                </a:schemeClr>
              </a:solidFill>
              <a:ln>
                <a:noFill/>
                <a:prstDash val="solid"/>
              </a:ln>
            </spPr>
          </dPt>
          <cat>
            <numRef>
              <f>Calculation!$D$55:$D$102</f>
              <numCache>
                <formatCode>mmm</formatCode>
                <ptCount val="48"/>
                <pt idx="0">
                  <v>45658</v>
                </pt>
                <pt idx="4">
                  <v>45689</v>
                </pt>
                <pt idx="8">
                  <v>45717</v>
                </pt>
                <pt idx="12">
                  <v>45748</v>
                </pt>
                <pt idx="16">
                  <v>45778</v>
                </pt>
                <pt idx="20">
                  <v>45809</v>
                </pt>
                <pt idx="24">
                  <v>45839</v>
                </pt>
                <pt idx="28">
                  <v>45870</v>
                </pt>
                <pt idx="32">
                  <v>45901</v>
                </pt>
                <pt idx="36">
                  <v>45931</v>
                </pt>
                <pt idx="40">
                  <v>45962</v>
                </pt>
                <pt idx="44">
                  <v>45992</v>
                </pt>
              </numCache>
            </numRef>
          </cat>
          <val>
            <numRef>
              <f>Calculation!$O$55:$O$102</f>
              <numCache>
                <formatCode>_(* #,##0_);_(* \(#,##0\);_(* "-"??_);_(@_)</formatCode>
                <ptCount val="48"/>
                <pt idx="0">
                  <v>0</v>
                </pt>
                <pt idx="1">
                  <v>0</v>
                </pt>
                <pt idx="2">
                  <v>0</v>
                </pt>
                <pt idx="4">
                  <v>0</v>
                </pt>
                <pt idx="5">
                  <v>0</v>
                </pt>
                <pt idx="6">
                  <v>0</v>
                </pt>
                <pt idx="8">
                  <v>0</v>
                </pt>
                <pt idx="9">
                  <v>0</v>
                </pt>
                <pt idx="10">
                  <v>0</v>
                </pt>
                <pt idx="12">
                  <v>0</v>
                </pt>
                <pt idx="13">
                  <v>0</v>
                </pt>
                <pt idx="14">
                  <v>0</v>
                </pt>
                <pt idx="16">
                  <v>0</v>
                </pt>
                <pt idx="17">
                  <v>0</v>
                </pt>
                <pt idx="18">
                  <v>0</v>
                </pt>
                <pt idx="20">
                  <v>0</v>
                </pt>
                <pt idx="21">
                  <v>0</v>
                </pt>
                <pt idx="22">
                  <v>0</v>
                </pt>
                <pt idx="24">
                  <v>0</v>
                </pt>
                <pt idx="25">
                  <v>0</v>
                </pt>
                <pt idx="26">
                  <v>0</v>
                </pt>
                <pt idx="28">
                  <v>0</v>
                </pt>
                <pt idx="29">
                  <v>0</v>
                </pt>
                <pt idx="30">
                  <v>0</v>
                </pt>
                <pt idx="32">
                  <v>0</v>
                </pt>
                <pt idx="33">
                  <v>0</v>
                </pt>
                <pt idx="34">
                  <v>0</v>
                </pt>
                <pt idx="36">
                  <v>0</v>
                </pt>
                <pt idx="37">
                  <v>0</v>
                </pt>
                <pt idx="38">
                  <v>0</v>
                </pt>
                <pt idx="40">
                  <v>0</v>
                </pt>
                <pt idx="41">
                  <v>0</v>
                </pt>
                <pt idx="42">
                  <v>0</v>
                </pt>
                <pt idx="44">
                  <v>0</v>
                </pt>
                <pt idx="45">
                  <v>0</v>
                </pt>
                <pt idx="46">
                  <v>0</v>
                </pt>
              </numCache>
            </numRef>
          </val>
        </ser>
        <ser>
          <idx val="3"/>
          <order val="3"/>
          <spPr>
            <a:solidFill>
              <a:schemeClr val="bg1">
                <a:lumMod val="85000"/>
              </a:schemeClr>
            </a:solidFill>
            <a:ln>
              <a:noFill/>
              <a:prstDash val="solid"/>
            </a:ln>
          </spPr>
          <invertIfNegative val="0"/>
          <cat>
            <numRef>
              <f>Calculation!$D$55:$D$102</f>
              <numCache>
                <formatCode>mmm</formatCode>
                <ptCount val="48"/>
                <pt idx="0">
                  <v>45658</v>
                </pt>
                <pt idx="4">
                  <v>45689</v>
                </pt>
                <pt idx="8">
                  <v>45717</v>
                </pt>
                <pt idx="12">
                  <v>45748</v>
                </pt>
                <pt idx="16">
                  <v>45778</v>
                </pt>
                <pt idx="20">
                  <v>45809</v>
                </pt>
                <pt idx="24">
                  <v>45839</v>
                </pt>
                <pt idx="28">
                  <v>45870</v>
                </pt>
                <pt idx="32">
                  <v>45901</v>
                </pt>
                <pt idx="36">
                  <v>45931</v>
                </pt>
                <pt idx="40">
                  <v>45962</v>
                </pt>
                <pt idx="44">
                  <v>45992</v>
                </pt>
              </numCache>
            </numRef>
          </cat>
          <val>
            <numRef>
              <f>Calculation!$P$55:$P$102</f>
              <numCache>
                <formatCode>_(* #,##0_);_(* \(#,##0\);_(* "-"??_);_(@_)</formatCode>
                <ptCount val="48"/>
                <pt idx="0">
                  <v>0</v>
                </pt>
                <pt idx="1">
                  <v>0</v>
                </pt>
                <pt idx="2">
                  <v>0</v>
                </pt>
                <pt idx="4">
                  <v>0</v>
                </pt>
                <pt idx="5">
                  <v>0</v>
                </pt>
                <pt idx="6">
                  <v>0</v>
                </pt>
                <pt idx="8">
                  <v>0</v>
                </pt>
                <pt idx="9">
                  <v>0</v>
                </pt>
                <pt idx="10">
                  <v>0</v>
                </pt>
                <pt idx="12">
                  <v>0</v>
                </pt>
                <pt idx="13">
                  <v>0</v>
                </pt>
                <pt idx="14">
                  <v>0</v>
                </pt>
                <pt idx="16">
                  <v>0</v>
                </pt>
                <pt idx="17">
                  <v>0</v>
                </pt>
                <pt idx="18">
                  <v>0</v>
                </pt>
                <pt idx="20">
                  <v>0</v>
                </pt>
                <pt idx="21">
                  <v>0</v>
                </pt>
                <pt idx="22">
                  <v>0</v>
                </pt>
                <pt idx="24">
                  <v>0</v>
                </pt>
                <pt idx="25">
                  <v>0</v>
                </pt>
                <pt idx="26">
                  <v>0</v>
                </pt>
                <pt idx="28">
                  <v>0</v>
                </pt>
                <pt idx="29">
                  <v>0</v>
                </pt>
                <pt idx="30">
                  <v>0</v>
                </pt>
                <pt idx="32">
                  <v>0</v>
                </pt>
                <pt idx="33">
                  <v>0</v>
                </pt>
                <pt idx="34">
                  <v>0</v>
                </pt>
                <pt idx="36">
                  <v>0</v>
                </pt>
                <pt idx="37">
                  <v>0</v>
                </pt>
                <pt idx="38">
                  <v>0</v>
                </pt>
                <pt idx="40">
                  <v>0</v>
                </pt>
                <pt idx="41">
                  <v>0</v>
                </pt>
                <pt idx="42">
                  <v>0</v>
                </pt>
                <pt idx="44">
                  <v>0</v>
                </pt>
                <pt idx="45">
                  <v>0</v>
                </pt>
                <pt idx="46">
                  <v>0</v>
                </pt>
              </numCache>
            </numRef>
          </val>
        </ser>
        <ser>
          <idx val="4"/>
          <order val="4"/>
          <spPr>
            <a:solidFill>
              <a:schemeClr val="bg1">
                <a:lumMod val="95000"/>
              </a:schemeClr>
            </a:solidFill>
            <a:ln>
              <a:noFill/>
              <a:prstDash val="solid"/>
            </a:ln>
          </spPr>
          <invertIfNegative val="0"/>
          <cat>
            <numRef>
              <f>Calculation!$D$55:$D$102</f>
              <numCache>
                <formatCode>mmm</formatCode>
                <ptCount val="48"/>
                <pt idx="0">
                  <v>45658</v>
                </pt>
                <pt idx="4">
                  <v>45689</v>
                </pt>
                <pt idx="8">
                  <v>45717</v>
                </pt>
                <pt idx="12">
                  <v>45748</v>
                </pt>
                <pt idx="16">
                  <v>45778</v>
                </pt>
                <pt idx="20">
                  <v>45809</v>
                </pt>
                <pt idx="24">
                  <v>45839</v>
                </pt>
                <pt idx="28">
                  <v>45870</v>
                </pt>
                <pt idx="32">
                  <v>45901</v>
                </pt>
                <pt idx="36">
                  <v>45931</v>
                </pt>
                <pt idx="40">
                  <v>45962</v>
                </pt>
                <pt idx="44">
                  <v>45992</v>
                </pt>
              </numCache>
            </numRef>
          </cat>
          <val>
            <numRef>
              <f>Calculation!$Q$55:$Q$102</f>
              <numCache>
                <formatCode>_(* #,##0_);_(* \(#,##0\);_(* "-"??_);_(@_)</formatCode>
                <ptCount val="48"/>
                <pt idx="0">
                  <v>0</v>
                </pt>
                <pt idx="1">
                  <v>0</v>
                </pt>
                <pt idx="2">
                  <v>0</v>
                </pt>
                <pt idx="4">
                  <v>0</v>
                </pt>
                <pt idx="5">
                  <v>0</v>
                </pt>
                <pt idx="6">
                  <v>0</v>
                </pt>
                <pt idx="8">
                  <v>0</v>
                </pt>
                <pt idx="9">
                  <v>0</v>
                </pt>
                <pt idx="10">
                  <v>0</v>
                </pt>
                <pt idx="12">
                  <v>0</v>
                </pt>
                <pt idx="13">
                  <v>0</v>
                </pt>
                <pt idx="14">
                  <v>0</v>
                </pt>
                <pt idx="16">
                  <v>0</v>
                </pt>
                <pt idx="17">
                  <v>0</v>
                </pt>
                <pt idx="18">
                  <v>0</v>
                </pt>
                <pt idx="20">
                  <v>0</v>
                </pt>
                <pt idx="21">
                  <v>0</v>
                </pt>
                <pt idx="22">
                  <v>0</v>
                </pt>
                <pt idx="24">
                  <v>0</v>
                </pt>
                <pt idx="25">
                  <v>0</v>
                </pt>
                <pt idx="26">
                  <v>0</v>
                </pt>
                <pt idx="28">
                  <v>0</v>
                </pt>
                <pt idx="29">
                  <v>0</v>
                </pt>
                <pt idx="30">
                  <v>0</v>
                </pt>
                <pt idx="32">
                  <v>0</v>
                </pt>
                <pt idx="33">
                  <v>0</v>
                </pt>
                <pt idx="34">
                  <v>0</v>
                </pt>
                <pt idx="36">
                  <v>0</v>
                </pt>
                <pt idx="37">
                  <v>0</v>
                </pt>
                <pt idx="38">
                  <v>0</v>
                </pt>
                <pt idx="40">
                  <v>0</v>
                </pt>
                <pt idx="41">
                  <v>0</v>
                </pt>
                <pt idx="42">
                  <v>0</v>
                </pt>
                <pt idx="44">
                  <v>0</v>
                </pt>
                <pt idx="45">
                  <v>0</v>
                </pt>
                <pt idx="46">
                  <v>0</v>
                </pt>
              </numCache>
            </numRef>
          </val>
        </ser>
        <ser>
          <idx val="5"/>
          <order val="5"/>
          <spPr>
            <a:solidFill>
              <a:schemeClr val="bg1">
                <a:alpha val="96863"/>
                <a:lumMod val="75000"/>
              </a:schemeClr>
            </a:solidFill>
            <a:ln>
              <a:noFill/>
              <a:prstDash val="solid"/>
            </a:ln>
          </spPr>
          <invertIfNegative val="0"/>
          <cat>
            <numRef>
              <f>Calculation!$D$55:$D$102</f>
              <numCache>
                <formatCode>mmm</formatCode>
                <ptCount val="48"/>
                <pt idx="0">
                  <v>45658</v>
                </pt>
                <pt idx="4">
                  <v>45689</v>
                </pt>
                <pt idx="8">
                  <v>45717</v>
                </pt>
                <pt idx="12">
                  <v>45748</v>
                </pt>
                <pt idx="16">
                  <v>45778</v>
                </pt>
                <pt idx="20">
                  <v>45809</v>
                </pt>
                <pt idx="24">
                  <v>45839</v>
                </pt>
                <pt idx="28">
                  <v>45870</v>
                </pt>
                <pt idx="32">
                  <v>45901</v>
                </pt>
                <pt idx="36">
                  <v>45931</v>
                </pt>
                <pt idx="40">
                  <v>45962</v>
                </pt>
                <pt idx="44">
                  <v>45992</v>
                </pt>
              </numCache>
            </numRef>
          </cat>
          <val>
            <numRef>
              <f>Calculation!$R$55:$R$102</f>
              <numCache>
                <formatCode>_(* #,##0_);_(* \(#,##0\);_(* "-"??_);_(@_)</formatCode>
                <ptCount val="48"/>
                <pt idx="0">
                  <v>0</v>
                </pt>
                <pt idx="1">
                  <v>0</v>
                </pt>
                <pt idx="2">
                  <v>0</v>
                </pt>
                <pt idx="4">
                  <v>0</v>
                </pt>
                <pt idx="5">
                  <v>0</v>
                </pt>
                <pt idx="6">
                  <v>0</v>
                </pt>
                <pt idx="8">
                  <v>0</v>
                </pt>
                <pt idx="9">
                  <v>0</v>
                </pt>
                <pt idx="10">
                  <v>0</v>
                </pt>
                <pt idx="12">
                  <v>0</v>
                </pt>
                <pt idx="13">
                  <v>0</v>
                </pt>
                <pt idx="14">
                  <v>0</v>
                </pt>
                <pt idx="16">
                  <v>0</v>
                </pt>
                <pt idx="17">
                  <v>0</v>
                </pt>
                <pt idx="18">
                  <v>0</v>
                </pt>
                <pt idx="20">
                  <v>0</v>
                </pt>
                <pt idx="21">
                  <v>0</v>
                </pt>
                <pt idx="22">
                  <v>0</v>
                </pt>
                <pt idx="24">
                  <v>0</v>
                </pt>
                <pt idx="25">
                  <v>0</v>
                </pt>
                <pt idx="26">
                  <v>0</v>
                </pt>
                <pt idx="28">
                  <v>0</v>
                </pt>
                <pt idx="29">
                  <v>0</v>
                </pt>
                <pt idx="30">
                  <v>0</v>
                </pt>
                <pt idx="32">
                  <v>0</v>
                </pt>
                <pt idx="33">
                  <v>0</v>
                </pt>
                <pt idx="34">
                  <v>0</v>
                </pt>
                <pt idx="36">
                  <v>0</v>
                </pt>
                <pt idx="37">
                  <v>0</v>
                </pt>
                <pt idx="38">
                  <v>0</v>
                </pt>
                <pt idx="40">
                  <v>0</v>
                </pt>
                <pt idx="41">
                  <v>0</v>
                </pt>
                <pt idx="42">
                  <v>0</v>
                </pt>
                <pt idx="44">
                  <v>0</v>
                </pt>
                <pt idx="45">
                  <v>0</v>
                </pt>
                <pt idx="46">
                  <v>0</v>
                </pt>
              </numCache>
            </numRef>
          </val>
        </ser>
        <dLbls>
          <showLegendKey val="0"/>
          <showVal val="0"/>
          <showCatName val="0"/>
          <showSerName val="0"/>
          <showPercent val="0"/>
          <showBubbleSize val="0"/>
        </dLbls>
        <gapWidth val="15"/>
        <overlap val="100"/>
        <axId val="1674534063"/>
        <axId val="825351183"/>
      </barChart>
      <catAx>
        <axId val="1674534063"/>
        <scaling>
          <orientation val="minMax"/>
        </scaling>
        <delete val="0"/>
        <axPos val="b"/>
        <numFmt formatCode="mmm" sourceLinked="1"/>
        <majorTickMark val="none"/>
        <minorTickMark val="none"/>
        <tickLblPos val="nextTo"/>
        <spPr>
          <a:noFill/>
          <a:ln w="9525" cap="flat" cmpd="sng" algn="ctr">
            <a:solidFill>
              <a:schemeClr val="tx1">
                <a:lumMod val="15000"/>
                <a:lumOff val="85000"/>
              </a:schemeClr>
            </a:solidFill>
            <a:prstDash val="solid"/>
            <a:round/>
          </a:ln>
        </spPr>
        <txPr>
          <a:bodyPr rot="-60000000" spcFirstLastPara="1" vertOverflow="ellipsis" vert="horz" wrap="square" anchor="ctr" anchorCtr="1"/>
          <a:lstStyle/>
          <a:p>
            <a:pPr>
              <a:defRPr sz="700" b="1" i="0" strike="noStrike" kern="1200" baseline="0">
                <a:solidFill>
                  <a:schemeClr val="bg1">
                    <a:lumMod val="75000"/>
                  </a:schemeClr>
                </a:solidFill>
                <a:latin typeface="+mn-lt"/>
                <a:ea typeface="+mn-ea"/>
                <a:cs typeface="+mn-cs"/>
              </a:defRPr>
            </a:pPr>
            <a:r>
              <a:t/>
            </a:r>
            <a:endParaRPr lang="en-US"/>
          </a:p>
        </txPr>
        <crossAx val="825351183"/>
        <crosses val="autoZero"/>
        <auto val="0"/>
        <lblAlgn val="ctr"/>
        <lblOffset val="100"/>
        <noMultiLvlLbl val="0"/>
      </catAx>
      <valAx>
        <axId val="825351183"/>
        <scaling>
          <orientation val="minMax"/>
        </scaling>
        <delete val="0"/>
        <axPos val="l"/>
        <numFmt formatCode="_(* #,##0_);_(* \(#,##0\);_(* &quot;-&quot;??_);_(@_)" sourceLinked="1"/>
        <majorTickMark val="none"/>
        <minorTickMark val="none"/>
        <tickLblPos val="nextTo"/>
        <spPr>
          <a:noFill/>
          <a:ln>
            <a:noFill/>
            <a:prstDash val="solid"/>
          </a:ln>
        </spPr>
        <txPr>
          <a:bodyPr rot="-60000000" spcFirstLastPara="1" vertOverflow="ellipsis" vert="horz" wrap="square" anchor="ctr" anchorCtr="1"/>
          <a:lstStyle/>
          <a:p>
            <a:pPr>
              <a:defRPr sz="700" b="0" i="0" strike="noStrike" kern="1200" baseline="0">
                <a:solidFill>
                  <a:schemeClr val="bg1">
                    <a:lumMod val="75000"/>
                  </a:schemeClr>
                </a:solidFill>
                <a:latin typeface="+mn-lt"/>
                <a:ea typeface="+mn-ea"/>
                <a:cs typeface="+mn-cs"/>
              </a:defRPr>
            </a:pPr>
            <a:r>
              <a:t/>
            </a:r>
            <a:endParaRPr lang="en-US"/>
          </a:p>
        </txPr>
        <crossAx val="1674534063"/>
        <crosses val="autoZero"/>
        <crossBetween val="between"/>
      </valAx>
    </plotArea>
    <plotVisOnly val="1"/>
    <dispBlanksAs val="gap"/>
  </chart>
  <spPr>
    <a:noFill/>
    <a:ln w="9525" cap="flat" cmpd="sng" algn="ctr">
      <a:noFill/>
      <a:prstDash val="solid"/>
      <a:round/>
    </a:ln>
  </spPr>
</chartSpace>
</file>

<file path=xl/charts/chart5.xml><?xml version="1.0" encoding="utf-8"?>
<chartSpace xmlns:a="http://schemas.openxmlformats.org/drawingml/2006/main" xmlns="http://schemas.openxmlformats.org/drawingml/2006/chart">
  <chart>
    <plotArea>
      <layout/>
      <barChart>
        <barDir val="bar"/>
        <grouping val="clustered"/>
        <varyColors val="0"/>
        <ser>
          <idx val="0"/>
          <order val="0"/>
          <spPr>
            <a:solidFill>
              <a:schemeClr val="bg1">
                <a:lumMod val="75000"/>
              </a:schemeClr>
            </a:solidFill>
            <a:ln>
              <a:noFill/>
              <a:prstDash val="solid"/>
            </a:ln>
          </spPr>
          <invertIfNegative val="0"/>
          <val>
            <numRef>
              <f>Calculation!$E$24</f>
              <numCache>
                <formatCode>0.00%</formatCode>
                <ptCount val="1"/>
                <pt idx="0">
                  <v>1</v>
                </pt>
              </numCache>
            </numRef>
          </val>
        </ser>
        <dLbls>
          <showLegendKey val="0"/>
          <showVal val="0"/>
          <showCatName val="0"/>
          <showSerName val="0"/>
          <showPercent val="0"/>
          <showBubbleSize val="0"/>
        </dLbls>
        <gapWidth val="0"/>
        <axId val="508988847"/>
        <axId val="508987535"/>
      </barChart>
      <catAx>
        <axId val="508988847"/>
        <scaling>
          <orientation val="minMax"/>
        </scaling>
        <delete val="1"/>
        <axPos val="l"/>
        <majorTickMark val="none"/>
        <minorTickMark val="none"/>
        <tickLblPos val="nextTo"/>
        <crossAx val="508987535"/>
        <crosses val="autoZero"/>
        <auto val="1"/>
        <lblAlgn val="ctr"/>
        <lblOffset val="100"/>
        <noMultiLvlLbl val="0"/>
      </catAx>
      <valAx>
        <axId val="508987535"/>
        <scaling>
          <orientation val="minMax"/>
          <max val="1"/>
        </scaling>
        <delete val="1"/>
        <axPos val="b"/>
        <numFmt formatCode="0.00%" sourceLinked="1"/>
        <majorTickMark val="none"/>
        <minorTickMark val="none"/>
        <tickLblPos val="nextTo"/>
        <crossAx val="508988847"/>
        <crosses val="autoZero"/>
        <crossBetween val="between"/>
      </valAx>
    </plotArea>
    <plotVisOnly val="1"/>
    <dispBlanksAs val="gap"/>
  </chart>
  <spPr>
    <a:noFill/>
    <a:ln w="9525" cap="flat" cmpd="sng" algn="ctr">
      <a:noFill/>
      <a:prstDash val="solid"/>
      <a:round/>
    </a:ln>
  </spPr>
</chartSpace>
</file>

<file path=xl/charts/chart6.xml><?xml version="1.0" encoding="utf-8"?>
<chartSpace xmlns:a="http://schemas.openxmlformats.org/drawingml/2006/main" xmlns="http://schemas.openxmlformats.org/drawingml/2006/chart">
  <style val="10"/>
  <chart>
    <title>
      <tx>
        <rich>
          <a:bodyPr/>
          <a:p>
            <a:pPr>
              <a:defRPr/>
            </a:pPr>
            <a:r>
              <a:t>Monthly Income vs Expenses</a:t>
            </a:r>
          </a:p>
        </rich>
      </tx>
    </title>
    <plotArea>
      <barChart>
        <barDir val="col"/>
        <grouping val="clustered"/>
        <ser>
          <idx val="0"/>
          <order val="0"/>
          <tx>
            <strRef>
              <f>'Transactions'!B211</f>
            </strRef>
          </tx>
          <spPr>
            <a:solidFill>
              <a:srgbClr val="22C55E"/>
            </a:solidFill>
            <a:ln>
              <a:prstDash val="solid"/>
            </a:ln>
          </spPr>
          <cat>
            <numRef>
              <f>'Transactions'!$A$212:$A$223</f>
            </numRef>
          </cat>
          <val>
            <numRef>
              <f>'Transactions'!$B$212:$B$223</f>
            </numRef>
          </val>
        </ser>
        <ser>
          <idx val="1"/>
          <order val="1"/>
          <tx>
            <strRef>
              <f>'Transactions'!C211</f>
            </strRef>
          </tx>
          <spPr>
            <a:solidFill>
              <a:srgbClr val="EF4444"/>
            </a:solidFill>
            <a:ln>
              <a:prstDash val="solid"/>
            </a:ln>
          </spPr>
          <cat>
            <numRef>
              <f>'Transactions'!$A$212:$A$223</f>
            </numRef>
          </cat>
          <val>
            <numRef>
              <f>'Transactions'!$C$212:$C$223</f>
            </numRef>
          </val>
        </ser>
        <gapWidth val="150"/>
        <axId val="10"/>
        <axId val="100"/>
      </barChart>
      <catAx>
        <axId val="10"/>
        <scaling>
          <orientation val="minMax"/>
        </scaling>
        <axPos val="l"/>
        <title>
          <tx>
            <rich>
              <a:bodyPr/>
              <a:p>
                <a:pPr>
                  <a:defRPr/>
                </a:pPr>
                <a:r>
                  <a:t>Month</a:t>
                </a:r>
              </a:p>
            </rich>
          </tx>
        </title>
        <majorTickMark val="none"/>
        <minorTickMark val="none"/>
        <crossAx val="100"/>
        <lblOffset val="100"/>
      </catAx>
      <valAx>
        <axId val="100"/>
        <scaling>
          <orientation val="minMax"/>
        </scaling>
        <axPos val="l"/>
        <majorGridlines/>
        <title>
          <tx>
            <rich>
              <a:bodyPr/>
              <a:p>
                <a:pPr>
                  <a:defRPr/>
                </a:pPr>
                <a:r>
                  <a:t>Amount (USD)</a:t>
                </a:r>
              </a:p>
            </rich>
          </tx>
        </title>
        <majorTickMark val="none"/>
        <minorTickMark val="none"/>
        <crossAx val="10"/>
      </valAx>
    </plotArea>
    <legend>
      <legendPos val="r"/>
    </legend>
    <plotVisOnly val="1"/>
    <dispBlanksAs val="gap"/>
  </chart>
</chartSpace>
</file>

<file path=xl/charts/chart7.xml><?xml version="1.0" encoding="utf-8"?>
<chartSpace xmlns:a="http://schemas.openxmlformats.org/drawingml/2006/main" xmlns="http://schemas.openxmlformats.org/drawingml/2006/chart">
  <style val="10"/>
  <chart>
    <title>
      <tx>
        <rich>
          <a:bodyPr/>
          <a:p>
            <a:pPr>
              <a:defRPr/>
            </a:pPr>
            <a:r>
              <a:t>Subscription Cost Breakdown</a:t>
            </a:r>
          </a:p>
        </rich>
      </tx>
    </title>
    <plotArea>
      <pieChart>
        <varyColors val="1"/>
        <ser>
          <idx val="0"/>
          <order val="0"/>
          <tx>
            <strRef>
              <f>'Subscriptions'!H6</f>
            </strRef>
          </tx>
          <spPr>
            <a:ln>
              <a:prstDash val="solid"/>
            </a:ln>
          </spPr>
          <cat>
            <numRef>
              <f>'Subscriptions'!$A$8:$A$57</f>
            </numRef>
          </cat>
          <val>
            <numRef>
              <f>'Subscriptions'!$H$7:$H$57</f>
            </numRef>
          </val>
        </ser>
        <firstSliceAng val="0"/>
      </pieChart>
    </plotArea>
    <legend>
      <legendPos val="r"/>
    </legend>
    <plotVisOnly val="1"/>
    <dispBlanksAs val="gap"/>
  </chart>
</chartSpace>
</file>

<file path=xl/charts/chart8.xml><?xml version="1.0" encoding="utf-8"?>
<chartSpace xmlns:a="http://schemas.openxmlformats.org/drawingml/2006/main" xmlns="http://schemas.openxmlformats.org/drawingml/2006/chart">
  <style val="10"/>
  <chart>
    <title>
      <tx>
        <rich>
          <a:bodyPr/>
          <a:p>
            <a:pPr>
              <a:defRPr/>
            </a:pPr>
            <a:r>
              <a:t>Portfolio Allocation</a:t>
            </a:r>
          </a:p>
        </rich>
      </tx>
    </title>
    <plotArea>
      <pieChart>
        <varyColors val="1"/>
        <ser>
          <idx val="0"/>
          <order val="0"/>
          <tx>
            <strRef>
              <f>'Portfolio'!D6</f>
            </strRef>
          </tx>
          <spPr>
            <a:ln>
              <a:prstDash val="solid"/>
            </a:ln>
          </spPr>
          <cat>
            <numRef>
              <f>'Portfolio'!$B$8:$B$57</f>
            </numRef>
          </cat>
          <val>
            <numRef>
              <f>'Portfolio'!$D$7:$D$57</f>
            </numRef>
          </val>
        </ser>
        <firstSliceAng val="0"/>
      </pieChart>
    </plotArea>
    <legend>
      <legendPos val="r"/>
    </legend>
    <plotVisOnly val="1"/>
    <dispBlanksAs val="gap"/>
  </chart>
</chartSpace>
</file>

<file path=xl/charts/chart9.xml><?xml version="1.0" encoding="utf-8"?>
<chartSpace xmlns:a="http://schemas.openxmlformats.org/drawingml/2006/main" xmlns="http://schemas.openxmlformats.org/drawingml/2006/chart">
  <style val="10"/>
  <chart>
    <title>
      <tx>
        <rich>
          <a:bodyPr/>
          <a:p>
            <a:pPr>
              <a:defRPr/>
            </a:pPr>
            <a:r>
              <a:t>Gain / Loss by Holding</a:t>
            </a:r>
          </a:p>
        </rich>
      </tx>
    </title>
    <plotArea>
      <barChart>
        <barDir val="col"/>
        <grouping val="clustered"/>
        <ser>
          <idx val="0"/>
          <order val="0"/>
          <tx>
            <strRef>
              <f>'Portfolio'!G6</f>
            </strRef>
          </tx>
          <spPr>
            <a:solidFill>
              <a:srgbClr val="F59E0B"/>
            </a:solidFill>
            <a:ln>
              <a:prstDash val="solid"/>
            </a:ln>
          </spPr>
          <cat>
            <numRef>
              <f>'Portfolio'!$A$8:$A$57</f>
            </numRef>
          </cat>
          <val>
            <numRef>
              <f>'Portfolio'!$G$7:$G$57</f>
            </numRef>
          </val>
        </ser>
        <gapWidth val="150"/>
        <axId val="10"/>
        <axId val="100"/>
      </barChart>
      <catAx>
        <axId val="10"/>
        <scaling>
          <orientation val="minMax"/>
        </scaling>
        <axPos val="l"/>
        <title>
          <tx>
            <rich>
              <a:bodyPr/>
              <a:p>
                <a:pPr>
                  <a:defRPr/>
                </a:pPr>
                <a:r>
                  <a:t>Ticker</a:t>
                </a:r>
              </a:p>
            </rich>
          </tx>
        </title>
        <majorTickMark val="none"/>
        <minorTickMark val="none"/>
        <crossAx val="100"/>
        <lblOffset val="100"/>
      </catAx>
      <valAx>
        <axId val="100"/>
        <scaling>
          <orientation val="minMax"/>
        </scaling>
        <axPos val="l"/>
        <majorGridlines/>
        <title>
          <tx>
            <rich>
              <a:bodyPr/>
              <a:p>
                <a:pPr>
                  <a:defRPr/>
                </a:pPr>
                <a:r>
                  <a:t>USD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_rels/drawing2.xml.rels><Relationships xmlns="http://schemas.openxmlformats.org/package/2006/relationships"><Relationship Type="http://schemas.openxmlformats.org/officeDocument/2006/relationships/chart" Target="/xl/charts/chart5.xml" Id="rId1" /></Relationships>
</file>

<file path=xl/drawings/_rels/drawing3.xml.rels><Relationships xmlns="http://schemas.openxmlformats.org/package/2006/relationships"><Relationship Type="http://schemas.openxmlformats.org/officeDocument/2006/relationships/chart" Target="/xl/charts/chart6.xml" Id="rId1" /></Relationships>
</file>

<file path=xl/drawings/_rels/drawing4.xml.rels><Relationships xmlns="http://schemas.openxmlformats.org/package/2006/relationships"><Relationship Type="http://schemas.openxmlformats.org/officeDocument/2006/relationships/chart" Target="/xl/charts/chart7.xml" Id="rId1" /></Relationships>
</file>

<file path=xl/drawings/_rels/drawing5.xml.rels><Relationships xmlns="http://schemas.openxmlformats.org/package/2006/relationships"><Relationship Type="http://schemas.openxmlformats.org/officeDocument/2006/relationships/chart" Target="/xl/charts/chart8.xml" Id="rId1" /><Relationship Type="http://schemas.openxmlformats.org/officeDocument/2006/relationships/chart" Target="/xl/charts/chart9.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31</col>
      <colOff>152400</colOff>
      <row>13</row>
      <rowOff>177800</rowOff>
    </from>
    <to>
      <col>32</col>
      <colOff>952499</colOff>
      <row>24</row>
      <rowOff>50800</rowOff>
    </to>
    <graphicFrame>
      <nvGraphicFramePr>
        <cNvPr id="3" name="Chart 3"/>
        <cNvGraphicFramePr/>
      </nvGraphicFramePr>
      <xfrm/>
      <a:graphic>
        <a:graphicData uri="http://schemas.openxmlformats.org/drawingml/2006/chart">
          <c:chart r:id="rId3"/>
        </a:graphicData>
      </a:graphic>
    </graphicFrame>
    <clientData/>
  </twoCellAnchor>
  <twoCellAnchor>
    <from>
      <col>38</col>
      <colOff>151611</colOff>
      <row>13</row>
      <rowOff>190797</rowOff>
    </from>
    <to>
      <col>43</col>
      <colOff>156633</colOff>
      <row>25</row>
      <rowOff>0</rowOff>
    </to>
    <graphicFrame>
      <nvGraphicFramePr>
        <cNvPr id="4" name="Chart 4"/>
        <cNvGraphicFramePr/>
      </nvGraphicFramePr>
      <xfrm/>
      <a:graphic>
        <a:graphicData uri="http://schemas.openxmlformats.org/drawingml/2006/chart">
          <c:chart r:id="rId4"/>
        </a:graphicData>
      </a:graphic>
    </graphicFrame>
    <clientData/>
  </twoCellAnchor>
  <oneCellAnchor>
    <from>
      <col>31</col>
      <colOff>152400</colOff>
      <row>27</row>
      <rowOff>177800</rowOff>
    </from>
    <ext cx="2044700" cy="2108200"/>
    <graphicFrame>
      <nvGraphicFramePr>
        <cNvPr id="1" name="Chart 1"/>
        <cNvGraphicFramePr/>
      </nvGraphicFramePr>
      <xfrm/>
      <a:graphic>
        <a:graphicData uri="http://schemas.openxmlformats.org/drawingml/2006/chart">
          <c:chart r:id="rId1"/>
        </a:graphicData>
      </a:graphic>
    </graphicFrame>
    <clientData/>
  </oneCellAnchor>
  <oneCellAnchor>
    <from>
      <col>38</col>
      <colOff>152400</colOff>
      <row>27</row>
      <rowOff>177800</rowOff>
    </from>
    <ext cx="2044700" cy="2108200"/>
    <graphicFrame>
      <nvGraphicFramePr>
        <cNvPr id="2" name="Chart 2"/>
        <cNvGraphicFramePr/>
      </nvGraphicFramePr>
      <xfrm/>
      <a:graphic>
        <a:graphicData uri="http://schemas.openxmlformats.org/drawingml/2006/chart">
          <c:chart r:id="rId2"/>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6</col>
      <colOff>212587</colOff>
      <row>10</row>
      <rowOff>139977</rowOff>
    </from>
    <to>
      <col>8</col>
      <colOff>1761434</colOff>
      <row>15</row>
      <rowOff>193261</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210</row>
      <rowOff>0</rowOff>
    </from>
    <ext cx="720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59</row>
      <rowOff>0</rowOff>
    </from>
    <ext cx="6480000" cy="43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60</row>
      <rowOff>0</rowOff>
    </from>
    <ext cx="6480000" cy="432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60</row>
      <rowOff>0</rowOff>
    </from>
    <ext cx="6480000" cy="4320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income" displayName="income" ref="C9:C14" headerRowCount="1" totalsRowShown="0" headerRowDxfId="58" dataDxfId="57">
  <autoFilter ref="C9:C14">
    <filterColumn colId="0" hiddenButton="1" showButton="1"/>
  </autoFilter>
  <tableColumns count="1">
    <tableColumn id="1" name="Income" dataDxfId="56"/>
  </tableColumns>
  <tableStyleInfo name="Income Table Style" showFirstColumn="0" showLastColumn="0" showRowStripes="1" showColumnStripes="0"/>
</table>
</file>

<file path=xl/tables/table2.xml><?xml version="1.0" encoding="utf-8"?>
<table xmlns="http://schemas.openxmlformats.org/spreadsheetml/2006/main" id="2" name="expenses" displayName="expenses" ref="C24:C34" headerRowCount="1" totalsRowShown="0" headerRowDxfId="55" dataDxfId="54">
  <autoFilter ref="C24:C34">
    <filterColumn colId="0" hiddenButton="1" showButton="1"/>
  </autoFilter>
  <tableColumns count="1">
    <tableColumn id="1" name="Expenses" dataDxfId="53"/>
  </tableColumns>
  <tableStyleInfo name="Expenses Table Style" showFirstColumn="0" showLastColumn="0" showRowStripes="1" showColumnStripes="0"/>
</table>
</file>

<file path=xl/tables/table3.xml><?xml version="1.0" encoding="utf-8"?>
<table xmlns="http://schemas.openxmlformats.org/spreadsheetml/2006/main" id="3" name="savings" displayName="savings" ref="C50:C55" headerRowCount="1" totalsRowShown="0" headerRowDxfId="52" dataDxfId="51">
  <autoFilter ref="C50:C55">
    <filterColumn colId="0" hiddenButton="1" showButton="1"/>
  </autoFilter>
  <tableColumns count="1">
    <tableColumn id="1" name="Savings" dataDxfId="50"/>
  </tableColumns>
  <tableStyleInfo name="Savings Table Style" showFirstColumn="0" showLastColumn="0" showRowStripes="1" showColumnStripes="0"/>
</table>
</file>

<file path=xl/tables/table4.xml><?xml version="1.0" encoding="utf-8"?>
<table xmlns="http://schemas.openxmlformats.org/spreadsheetml/2006/main" id="4" name="tracking" displayName="tracking" ref="C11:I226" headerRowCount="1" totalsRowShown="0" headerRowDxfId="49" dataDxfId="48">
  <autoFilter ref="C11:I226"/>
  <sortState ref="C12:I50">
    <sortCondition ref="C11:C50"/>
  </sortState>
  <tableColumns count="7">
    <tableColumn id="1" name="Date" dataDxfId="47"/>
    <tableColumn id="2" name="Type" dataDxfId="46"/>
    <tableColumn id="3" name="Category" dataDxfId="45"/>
    <tableColumn id="4" name="Amount" dataDxfId="44" dataCellStyle="Comma"/>
    <tableColumn id="5" name="Details" dataDxfId="43"/>
    <tableColumn id="6" name="Balance" dataDxfId="42" dataCellStyle="Comma"/>
    <tableColumn id="7" name="Effective Date" dataDxfId="41">
      <calculatedColumnFormula> IF(AND(tracking[[#This Row],[Type]]="Income", shift_late_income_status="Active", DAY(tracking[[#This Row],[Date]])&gt;=shift_late_income_starting_day), DATE(YEAR(tracking[[#This Row],[Date]]), MONTH(tracking[[#This Row],[Date]])+1, 1), tracking[[#This Row],[Date]])</calculatedColumnFormula>
    </tableColumn>
  </tableColumns>
  <tableStyleInfo name="Tracking Table Style" showFirstColumn="0" showLastColumn="0" showRowStripes="1" showColumnStripes="0"/>
</table>
</file>

<file path=xl/tables/table5.xml><?xml version="1.0" encoding="utf-8"?>
<table xmlns="http://schemas.openxmlformats.org/spreadsheetml/2006/main" id="5" name="Transactions" displayName="Transactions" ref="A6:H207" headerRowCount="1">
  <autoFilter ref="A6:H207"/>
  <tableColumns count="8">
    <tableColumn id="1" name="Date"/>
    <tableColumn id="2" name="Category"/>
    <tableColumn id="3" name="Type"/>
    <tableColumn id="4" name="Details / Notes"/>
    <tableColumn id="5" name="Amount (USD)"/>
    <tableColumn id="6" name="Running Balance"/>
    <tableColumn id="7" name="Flagged?"/>
    <tableColumn id="8" name="Effective Date"/>
  </tableColumns>
  <tableStyleInfo name="TableStyleDark2" showFirstColumn="0" showLastColumn="0" showRowStripes="1" showColumnStripes="0"/>
</table>
</file>

<file path=xl/tables/table6.xml><?xml version="1.0" encoding="utf-8"?>
<table xmlns="http://schemas.openxmlformats.org/spreadsheetml/2006/main" id="6" name="Subscriptions" displayName="Subscriptions" ref="A6:I57" headerRowCount="1">
  <autoFilter ref="A6:I57"/>
  <tableColumns count="9">
    <tableColumn id="1" name="Service Name"/>
    <tableColumn id="2" name="Billing Cycle"/>
    <tableColumn id="3" name="Amount"/>
    <tableColumn id="4" name="Category"/>
    <tableColumn id="5" name="Notes"/>
    <tableColumn id="6" name="Last Paid Date"/>
    <tableColumn id="7" name="Monthly Equiv"/>
    <tableColumn id="8" name="Monthly Cost"/>
    <tableColumn id="9" name="Status"/>
  </tableColumns>
  <tableStyleInfo name="TableStyleDark9" showRowStripes="1"/>
</table>
</file>

<file path=xl/tables/table7.xml><?xml version="1.0" encoding="utf-8"?>
<table xmlns="http://schemas.openxmlformats.org/spreadsheetml/2006/main" id="7" name="Portfolio" displayName="Portfolio" ref="A6:I57" headerRowCount="1">
  <autoFilter ref="A6:I57"/>
  <tableColumns count="9">
    <tableColumn id="1" name="Ticker"/>
    <tableColumn id="2" name="Company Name"/>
    <tableColumn id="3" name="Shares"/>
    <tableColumn id="4" name="Current Value"/>
    <tableColumn id="5" name="Price/Share"/>
    <tableColumn id="6" name="Cost Basis"/>
    <tableColumn id="7" name="Gain / Loss"/>
    <tableColumn id="8" name="% of Portfolio"/>
    <tableColumn id="9" name="Allocation"/>
  </tableColumns>
  <tableStyleInfo name="TableStyleDark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 Type="http://schemas.openxmlformats.org/officeDocument/2006/relationships/table" Target="/xl/tables/table3.xml" Id="rId3" /></Relationships>
</file>

<file path=xl/worksheets/_rels/sheet3.xml.rels><Relationships xmlns="http://schemas.openxmlformats.org/package/2006/relationships"><Relationship Type="http://schemas.openxmlformats.org/officeDocument/2006/relationships/table" Target="/xl/tables/table4.xml" Id="rId1"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_rels/sheet8.xml.rels><Relationships xmlns="http://schemas.openxmlformats.org/package/2006/relationships"><Relationship Type="http://schemas.openxmlformats.org/officeDocument/2006/relationships/drawing" Target="/xl/drawings/drawing3.xml" Id="rId1" /><Relationship Type="http://schemas.openxmlformats.org/officeDocument/2006/relationships/table" Target="/xl/tables/table5.xml" Id="rId2" /></Relationships>
</file>

<file path=xl/worksheets/_rels/sheet9.xml.rels><Relationships xmlns="http://schemas.openxmlformats.org/package/2006/relationships"><Relationship Type="http://schemas.openxmlformats.org/officeDocument/2006/relationships/drawing" Target="/xl/drawings/drawing4.xml" Id="rId1" /><Relationship Type="http://schemas.openxmlformats.org/officeDocument/2006/relationships/table" Target="/xl/tables/table6.xml" Id="rId2" /></Relationships>
</file>

<file path=xl/worksheets/_rels/sheet10.xml.rels><Relationships xmlns="http://schemas.openxmlformats.org/package/2006/relationships"><Relationship Type="http://schemas.openxmlformats.org/officeDocument/2006/relationships/drawing" Target="/xl/drawings/drawing5.xml" Id="rId1" /><Relationship Type="http://schemas.openxmlformats.org/officeDocument/2006/relationships/table" Target="/xl/tables/table7.xml" Id="rId2" /></Relationships>
</file>

<file path=xl/worksheets/sheet1.xml><?xml version="1.0" encoding="utf-8"?>
<worksheet xmlns="http://schemas.openxmlformats.org/spreadsheetml/2006/main">
  <sheetPr>
    <outlinePr summaryBelow="1" summaryRight="1"/>
    <pageSetUpPr/>
  </sheetPr>
  <dimension ref="B1:K25"/>
  <sheetViews>
    <sheetView showGridLines="0" tabSelected="1" zoomScale="90" workbookViewId="0">
      <selection activeCell="E48" sqref="E48"/>
    </sheetView>
  </sheetViews>
  <sheetFormatPr baseColWidth="10" defaultColWidth="10.83203125" defaultRowHeight="16"/>
  <cols>
    <col width="6.1640625" customWidth="1" min="1" max="1"/>
    <col width="3.83203125" customWidth="1" min="2" max="2"/>
    <col width="7.83203125" customWidth="1" min="3" max="3"/>
    <col width="28" customWidth="1" min="4" max="4"/>
    <col width="26.1640625" customWidth="1" min="5" max="5"/>
    <col width="2.5" customWidth="1" min="6" max="6"/>
    <col width="70.1640625" customWidth="1" min="7" max="7"/>
    <col width="7.83203125" customWidth="1" min="8" max="8"/>
  </cols>
  <sheetData>
    <row r="1" customFormat="1" s="13">
      <c r="B1" s="116" t="inlineStr">
        <is>
          <t>Settings</t>
        </is>
      </c>
    </row>
    <row r="2" ht="16" customFormat="1" customHeight="1" s="13"/>
    <row r="3" customFormat="1" s="13"/>
    <row r="5">
      <c r="B5" s="1" t="n"/>
      <c r="C5" s="1" t="n"/>
      <c r="D5" s="1" t="n"/>
      <c r="E5" s="1" t="n"/>
      <c r="F5" s="1" t="n"/>
      <c r="G5" s="1" t="n"/>
      <c r="H5" s="1" t="n"/>
      <c r="I5" s="1" t="n"/>
      <c r="J5" s="1" t="n"/>
      <c r="K5" s="1" t="n"/>
    </row>
    <row r="6">
      <c r="B6" s="1" t="n"/>
      <c r="C6" s="135" t="inlineStr">
        <is>
          <t>General</t>
        </is>
      </c>
      <c r="H6" s="36" t="n"/>
      <c r="I6" s="1" t="n"/>
      <c r="J6" s="1" t="n"/>
      <c r="K6" s="1" t="n"/>
    </row>
    <row r="7">
      <c r="B7" s="1" t="n"/>
      <c r="C7" s="9" t="n"/>
      <c r="D7" s="10" t="n"/>
      <c r="E7" s="10" t="n"/>
      <c r="F7" s="10" t="n"/>
      <c r="G7" s="10" t="n"/>
      <c r="H7" s="11" t="n"/>
      <c r="I7" s="1" t="n"/>
      <c r="J7" s="1" t="n"/>
      <c r="K7" s="1" t="n"/>
    </row>
    <row r="8">
      <c r="B8" s="1" t="n"/>
      <c r="C8" s="2" t="n"/>
      <c r="D8" s="7" t="inlineStr">
        <is>
          <t>Starting Year:</t>
        </is>
      </c>
      <c r="E8" s="8" t="n">
        <v>2025</v>
      </c>
      <c r="F8" s="1" t="n"/>
      <c r="G8" s="12" t="inlineStr">
        <is>
          <t>Set the starting year (yyyy) once at the beginning and do not change it again.</t>
        </is>
      </c>
      <c r="H8" s="3" t="n"/>
      <c r="I8" s="1" t="n"/>
      <c r="J8" s="1" t="n"/>
      <c r="K8" s="1" t="n"/>
    </row>
    <row r="9">
      <c r="B9" s="1" t="n"/>
      <c r="C9" s="4" t="n"/>
      <c r="D9" s="5" t="n"/>
      <c r="E9" s="5" t="n"/>
      <c r="F9" s="5" t="n"/>
      <c r="G9" s="5" t="n"/>
      <c r="H9" s="6" t="n"/>
      <c r="I9" s="1" t="n"/>
      <c r="J9" s="1" t="n"/>
      <c r="K9" s="1" t="n"/>
    </row>
    <row r="10">
      <c r="B10" s="1" t="n"/>
      <c r="C10" s="1" t="n"/>
      <c r="D10" s="1" t="n"/>
      <c r="E10" s="1" t="n"/>
      <c r="F10" s="1" t="n"/>
      <c r="G10" s="1" t="n"/>
      <c r="H10" s="1" t="n"/>
      <c r="I10" s="1" t="n"/>
      <c r="J10" s="1" t="n"/>
      <c r="K10" s="1" t="n"/>
    </row>
    <row r="11">
      <c r="B11" s="1" t="n"/>
      <c r="C11" s="1" t="n"/>
      <c r="D11" s="1" t="n"/>
      <c r="E11" s="1" t="n"/>
      <c r="F11" s="1" t="n"/>
      <c r="G11" s="1" t="n"/>
      <c r="H11" s="1" t="n"/>
      <c r="I11" s="1" t="n"/>
      <c r="J11" s="1" t="n"/>
      <c r="K11" s="1" t="n"/>
    </row>
    <row r="12">
      <c r="B12" s="1" t="n"/>
      <c r="C12" s="135" t="inlineStr">
        <is>
          <t>Budget Tracking &amp; Dashboard</t>
        </is>
      </c>
      <c r="H12" s="36" t="n"/>
      <c r="I12" s="1" t="n"/>
      <c r="J12" s="1" t="n"/>
      <c r="K12" s="1" t="n"/>
    </row>
    <row r="13">
      <c r="B13" s="1" t="n"/>
      <c r="C13" s="9" t="n"/>
      <c r="D13" s="10" t="n"/>
      <c r="E13" s="10" t="n"/>
      <c r="F13" s="10" t="n"/>
      <c r="G13" s="10" t="n"/>
      <c r="H13" s="11" t="n"/>
      <c r="I13" s="1" t="n"/>
      <c r="J13" s="1" t="n"/>
      <c r="K13" s="1" t="n"/>
    </row>
    <row r="14">
      <c r="B14" s="1" t="n"/>
      <c r="C14" s="9" t="n"/>
      <c r="D14" s="41" t="inlineStr">
        <is>
          <t>Late Monthly Income</t>
        </is>
      </c>
      <c r="E14" s="10" t="n"/>
      <c r="F14" s="10" t="n"/>
      <c r="G14" s="10" t="n"/>
      <c r="H14" s="11" t="n"/>
      <c r="I14" s="1" t="n"/>
      <c r="J14" s="1" t="n"/>
      <c r="K14" s="1" t="n"/>
    </row>
    <row r="15">
      <c r="B15" s="1" t="n"/>
      <c r="C15" s="9" t="n"/>
      <c r="D15" s="10" t="n"/>
      <c r="E15" s="10" t="n"/>
      <c r="F15" s="10" t="n"/>
      <c r="G15" s="10" t="n"/>
      <c r="H15" s="11" t="n"/>
      <c r="I15" s="1" t="n"/>
      <c r="J15" s="1" t="n"/>
      <c r="K15" s="1" t="n"/>
    </row>
    <row r="16">
      <c r="B16" s="1" t="n"/>
      <c r="C16" s="2" t="n"/>
      <c r="D16" s="15" t="inlineStr">
        <is>
          <t>Shift Late Income:</t>
        </is>
      </c>
      <c r="E16" s="8" t="inlineStr">
        <is>
          <t>Inactive</t>
        </is>
      </c>
      <c r="F16" s="1" t="n"/>
      <c r="G16" s="117" t="inlineStr">
        <is>
          <t>Activate this option to treat late income received on or after a certain day of the month as income for the next month. This is especially recommended in case you receive your monthly paycheck towards the end of the month and prefer to consider this income as the disposable income for the next month.</t>
        </is>
      </c>
      <c r="H16" s="3" t="n"/>
      <c r="I16" s="1" t="n"/>
      <c r="J16" s="1" t="n"/>
      <c r="K16" s="1" t="n"/>
    </row>
    <row r="17" ht="10" customHeight="1">
      <c r="B17" s="1" t="n"/>
      <c r="C17" s="2" t="n"/>
      <c r="D17" s="1" t="n"/>
      <c r="E17" s="1" t="n"/>
      <c r="F17" s="1" t="n"/>
      <c r="H17" s="3" t="n"/>
      <c r="I17" s="1" t="n"/>
      <c r="J17" s="1" t="n"/>
      <c r="K17" s="1" t="n"/>
    </row>
    <row r="18">
      <c r="B18" s="1" t="n"/>
      <c r="C18" s="2" t="n"/>
      <c r="D18" s="15" t="inlineStr">
        <is>
          <t>Starting on day x in month:</t>
        </is>
      </c>
      <c r="E18" s="8" t="n">
        <v>20</v>
      </c>
      <c r="F18" s="1" t="n"/>
      <c r="H18" s="3" t="n"/>
      <c r="I18" s="1" t="n"/>
      <c r="J18" s="1" t="n"/>
      <c r="K18" s="1" t="n"/>
    </row>
    <row r="19">
      <c r="C19" s="33" t="n"/>
      <c r="H19" s="36" t="n"/>
    </row>
    <row r="20">
      <c r="C20" s="33" t="n"/>
      <c r="D20" s="41" t="inlineStr">
        <is>
          <t>KPI Calculation in Dashboard</t>
        </is>
      </c>
      <c r="H20" s="36" t="n"/>
    </row>
    <row r="21">
      <c r="C21" s="33" t="n"/>
      <c r="D21" s="41" t="n"/>
      <c r="H21" s="36" t="n"/>
    </row>
    <row r="22">
      <c r="C22" s="33" t="n"/>
      <c r="D22" s="15" t="inlineStr">
        <is>
          <t>Savings Rate as % of Income:</t>
        </is>
      </c>
      <c r="E22" s="8" t="inlineStr">
        <is>
          <t>% allocated to Savings</t>
        </is>
      </c>
      <c r="G22" s="117" t="inlineStr">
        <is>
          <t>Choose how you want the savings rate (SR) to be calculated in the dashboard KPI tiles:
1) Active Option (% allocated to Savings):                            SR = Savings/Income
2) Passive Option (% not allocated to Expenses):               SR = (Income - Expenses) / Income</t>
        </is>
      </c>
      <c r="H22" s="36" t="n"/>
    </row>
    <row r="23">
      <c r="C23" s="33" t="n"/>
      <c r="D23" s="41" t="n"/>
      <c r="H23" s="36" t="n"/>
    </row>
    <row r="24">
      <c r="C24" s="33" t="n"/>
      <c r="H24" s="36" t="n"/>
    </row>
    <row r="25">
      <c r="C25" s="34" t="n"/>
      <c r="D25" s="35" t="n"/>
      <c r="E25" s="35" t="n"/>
      <c r="F25" s="35" t="n"/>
      <c r="G25" s="35" t="n"/>
      <c r="H25" s="37" t="n"/>
    </row>
  </sheetData>
  <mergeCells count="5">
    <mergeCell ref="C6:H6"/>
    <mergeCell ref="G22:G24"/>
    <mergeCell ref="B1:E3"/>
    <mergeCell ref="G16:G18"/>
    <mergeCell ref="C12:H12"/>
  </mergeCells>
  <conditionalFormatting sqref="E18">
    <cfRule type="expression" priority="1" dxfId="40">
      <formula>shift_late_income_status="Inactive"</formula>
    </cfRule>
  </conditionalFormatting>
  <dataValidations count="2">
    <dataValidation sqref="E16" showDropDown="0" showInputMessage="1" showErrorMessage="1" allowBlank="1" type="list">
      <formula1>"Active, Inactive"</formula1>
    </dataValidation>
    <dataValidation sqref="E22" showDropDown="0" showInputMessage="1" showErrorMessage="1" allowBlank="1" type="list">
      <formula1>"% allocated to Savings, % not allocated to Expenses"</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M71"/>
  <sheetViews>
    <sheetView showGridLines="0" zoomScaleNormal="100" workbookViewId="0">
      <selection activeCell="T64" sqref="T64"/>
    </sheetView>
  </sheetViews>
  <sheetFormatPr baseColWidth="10" defaultColWidth="10.83203125" defaultRowHeight="16"/>
  <cols>
    <col width="6.1640625" customWidth="1" min="1" max="1"/>
    <col width="3.83203125" customWidth="1" min="2" max="2"/>
    <col width="32.33203125" customWidth="1" min="3" max="3"/>
    <col width="3.5" customWidth="1" min="4" max="4"/>
    <col hidden="1" outlineLevel="1" width="10.83203125" customWidth="1" min="5" max="16"/>
    <col collapsed="1" width="10.83203125" customWidth="1" min="17" max="17"/>
    <col width="2.33203125" customWidth="1" min="18" max="18"/>
    <col outlineLevel="1" width="10.83203125" customWidth="1" min="19" max="30"/>
    <col width="2.33203125" customWidth="1" min="32" max="32"/>
    <col hidden="1" outlineLevel="1" width="10.83203125" customWidth="1" min="33" max="44"/>
    <col collapsed="1" width="10.83203125" customWidth="1" min="45" max="45"/>
    <col width="2.33203125" customWidth="1" min="46" max="46"/>
    <col hidden="1" outlineLevel="1" width="10.83203125" customWidth="1" min="47" max="58"/>
    <col collapsed="1" width="10.83203125" customWidth="1" min="59" max="59"/>
    <col width="2.33203125" customWidth="1" min="60" max="60"/>
    <col hidden="1" outlineLevel="1" width="10.83203125" customWidth="1" min="61" max="72"/>
    <col collapsed="1" width="10.83203125" customWidth="1" min="73" max="73"/>
    <col width="2.33203125" customWidth="1" min="74" max="74"/>
    <col hidden="1" outlineLevel="1" width="10.83203125" customWidth="1" min="75" max="86"/>
    <col collapsed="1" width="10.83203125" customWidth="1" min="87" max="87"/>
    <col width="2.33203125" customWidth="1" min="88" max="88"/>
    <col hidden="1" outlineLevel="1" width="10.83203125" customWidth="1" min="89" max="100"/>
    <col collapsed="1" width="10.83203125" customWidth="1" min="101" max="101"/>
    <col width="2.33203125" customWidth="1" min="102" max="102"/>
    <col hidden="1" outlineLevel="1" width="10.83203125" customWidth="1" min="103" max="114"/>
    <col collapsed="1" width="10.83203125" customWidth="1" min="115" max="115"/>
    <col width="2.33203125" customWidth="1" min="116" max="116"/>
    <col hidden="1" outlineLevel="1" width="10.83203125" customWidth="1" min="117" max="128"/>
    <col collapsed="1" width="10.83203125" customWidth="1" min="129" max="129"/>
    <col width="2.33203125" customWidth="1" min="130" max="130"/>
    <col hidden="1" outlineLevel="1" width="10.83203125" customWidth="1" min="131" max="142"/>
    <col collapsed="1" width="10.83203125" customWidth="1" min="143" max="143"/>
    <col width="2.33203125" customWidth="1" min="144" max="144"/>
  </cols>
  <sheetData>
    <row r="1" customFormat="1" s="13">
      <c r="A1" s="13" t="inlineStr">
        <is>
          <t> </t>
        </is>
      </c>
      <c r="B1" s="120" t="inlineStr">
        <is>
          <t>Budget Planning</t>
        </is>
      </c>
    </row>
    <row r="2" ht="16" customFormat="1" customHeight="1" s="13"/>
    <row r="3" ht="16" customFormat="1" customHeight="1" s="13"/>
    <row r="5">
      <c r="C5" s="30" t="inlineStr">
        <is>
          <t>Define starting year in Settings --&gt;</t>
        </is>
      </c>
      <c r="E5" s="119">
        <f> starting_year</f>
        <v/>
      </c>
      <c r="S5" s="119">
        <f>E5+1</f>
        <v/>
      </c>
      <c r="AG5" s="119">
        <f>S5+1</f>
        <v/>
      </c>
      <c r="AU5" s="119">
        <f>AG5+1</f>
        <v/>
      </c>
      <c r="BI5" s="119">
        <f>AU5+1</f>
        <v/>
      </c>
      <c r="BW5" s="119">
        <f>BI5+1</f>
        <v/>
      </c>
      <c r="CK5" s="119">
        <f>BW5+1</f>
        <v/>
      </c>
      <c r="CY5" s="119">
        <f>CK5+1</f>
        <v/>
      </c>
      <c r="DM5" s="119">
        <f>CY5+1</f>
        <v/>
      </c>
      <c r="EA5" s="119">
        <f>DM5+1</f>
        <v/>
      </c>
    </row>
    <row r="6">
      <c r="E6" s="32">
        <f> IF(E7=0, "Jan✓", "Jan")</f>
        <v/>
      </c>
      <c r="F6" s="32">
        <f> IF(F7=0, "Feb✓", "Feb")</f>
        <v/>
      </c>
      <c r="G6" s="32">
        <f> IF(G7=0, "Mar✓", "Mar")</f>
        <v/>
      </c>
      <c r="H6" s="32">
        <f> IF(H7=0, "Apr✓", "Apr")</f>
        <v/>
      </c>
      <c r="I6" s="32">
        <f> IF(I7=0, "May✓", "May")</f>
        <v/>
      </c>
      <c r="J6" s="32">
        <f> IF(J7=0, "Jun✓", "Jun")</f>
        <v/>
      </c>
      <c r="K6" s="32">
        <f> IF(K7=0, "Jul✓", "Jul")</f>
        <v/>
      </c>
      <c r="L6" s="32">
        <f> IF(L7=0, "Aug✓", "Aug")</f>
        <v/>
      </c>
      <c r="M6" s="32">
        <f> IF(M7=0, "Sep✓", "Sep")</f>
        <v/>
      </c>
      <c r="N6" s="32">
        <f> IF(N7=0, "Oct✓", "Oct")</f>
        <v/>
      </c>
      <c r="O6" s="32">
        <f> IF(O7=0, "Nov✓", "Nov")</f>
        <v/>
      </c>
      <c r="P6" s="32">
        <f> IF(P7=0, "Dec✓", "Dec")</f>
        <v/>
      </c>
      <c r="Q6" s="32">
        <f> IF(Q7=0, "Total✓", "Total")</f>
        <v/>
      </c>
      <c r="S6" s="32">
        <f> IF(S7=0, "Jan✓", "Jan")</f>
        <v/>
      </c>
      <c r="T6" s="32">
        <f> IF(T7=0, "Feb✓", "Feb")</f>
        <v/>
      </c>
      <c r="U6" s="32">
        <f> IF(U7=0, "Mar✓", "Mar")</f>
        <v/>
      </c>
      <c r="V6" s="32">
        <f> IF(V7=0, "Apr✓", "Apr")</f>
        <v/>
      </c>
      <c r="W6" s="32">
        <f> IF(W7=0, "May✓", "May")</f>
        <v/>
      </c>
      <c r="X6" s="32">
        <f> IF(X7=0, "Jun✓", "Jun")</f>
        <v/>
      </c>
      <c r="Y6" s="32">
        <f> IF(Y7=0, "Jul✓", "Jul")</f>
        <v/>
      </c>
      <c r="Z6" s="32">
        <f> IF(Z7=0, "Aug✓", "Aug")</f>
        <v/>
      </c>
      <c r="AA6" s="32">
        <f> IF(AA7=0, "Sep✓", "Sep")</f>
        <v/>
      </c>
      <c r="AB6" s="32">
        <f> IF(AB7=0, "Oct✓", "Oct")</f>
        <v/>
      </c>
      <c r="AC6" s="32">
        <f> IF(AC7=0, "Nov✓", "Nov")</f>
        <v/>
      </c>
      <c r="AD6" s="32">
        <f> IF(AD7=0, "Dec✓", "Dec")</f>
        <v/>
      </c>
      <c r="AE6" s="32">
        <f> IF(AE7=0, "Total✓", "Total")</f>
        <v/>
      </c>
      <c r="AG6" s="32">
        <f> IF(AG7=0, "Jan✓", "Jan")</f>
        <v/>
      </c>
      <c r="AH6" s="32">
        <f> IF(AH7=0, "Feb✓", "Feb")</f>
        <v/>
      </c>
      <c r="AI6" s="32">
        <f> IF(AI7=0, "Mar✓", "Mar")</f>
        <v/>
      </c>
      <c r="AJ6" s="32">
        <f> IF(AJ7=0, "Apr✓", "Apr")</f>
        <v/>
      </c>
      <c r="AK6" s="32">
        <f> IF(AK7=0, "May✓", "May")</f>
        <v/>
      </c>
      <c r="AL6" s="32">
        <f> IF(AL7=0, "Jun✓", "Jun")</f>
        <v/>
      </c>
      <c r="AM6" s="32">
        <f> IF(AM7=0, "Jul✓", "Jul")</f>
        <v/>
      </c>
      <c r="AN6" s="32">
        <f> IF(AN7=0, "Aug✓", "Aug")</f>
        <v/>
      </c>
      <c r="AO6" s="32">
        <f> IF(AO7=0, "Sep✓", "Sep")</f>
        <v/>
      </c>
      <c r="AP6" s="32">
        <f> IF(AP7=0, "Oct✓", "Oct")</f>
        <v/>
      </c>
      <c r="AQ6" s="32">
        <f> IF(AQ7=0, "Nov✓", "Nov")</f>
        <v/>
      </c>
      <c r="AR6" s="32">
        <f> IF(AR7=0, "Dec✓", "Dec")</f>
        <v/>
      </c>
      <c r="AS6" s="32">
        <f> IF(AS7=0, "Total✓", "Total")</f>
        <v/>
      </c>
      <c r="AU6" s="32">
        <f> IF(AU7=0, "Jan✓", "Jan")</f>
        <v/>
      </c>
      <c r="AV6" s="32">
        <f> IF(AV7=0, "Feb✓", "Feb")</f>
        <v/>
      </c>
      <c r="AW6" s="32">
        <f> IF(AW7=0, "Mar✓", "Mar")</f>
        <v/>
      </c>
      <c r="AX6" s="32">
        <f> IF(AX7=0, "Apr✓", "Apr")</f>
        <v/>
      </c>
      <c r="AY6" s="32">
        <f> IF(AY7=0, "May✓", "May")</f>
        <v/>
      </c>
      <c r="AZ6" s="32">
        <f> IF(AZ7=0, "Jun✓", "Jun")</f>
        <v/>
      </c>
      <c r="BA6" s="32">
        <f> IF(BA7=0, "Jul✓", "Jul")</f>
        <v/>
      </c>
      <c r="BB6" s="32">
        <f> IF(BB7=0, "Aug✓", "Aug")</f>
        <v/>
      </c>
      <c r="BC6" s="32">
        <f> IF(BC7=0, "Sep✓", "Sep")</f>
        <v/>
      </c>
      <c r="BD6" s="32">
        <f> IF(BD7=0, "Oct✓", "Oct")</f>
        <v/>
      </c>
      <c r="BE6" s="32">
        <f> IF(BE7=0, "Nov✓", "Nov")</f>
        <v/>
      </c>
      <c r="BF6" s="32">
        <f> IF(BF7=0, "Dec✓", "Dec")</f>
        <v/>
      </c>
      <c r="BG6" s="32">
        <f> IF(BG7=0, "Total✓", "Total")</f>
        <v/>
      </c>
      <c r="BI6" s="32">
        <f> IF(BI7=0, "Jan✓", "Jan")</f>
        <v/>
      </c>
      <c r="BJ6" s="32">
        <f> IF(BJ7=0, "Feb✓", "Feb")</f>
        <v/>
      </c>
      <c r="BK6" s="32">
        <f> IF(BK7=0, "Mar✓", "Mar")</f>
        <v/>
      </c>
      <c r="BL6" s="32">
        <f> IF(BL7=0, "Apr✓", "Apr")</f>
        <v/>
      </c>
      <c r="BM6" s="32">
        <f> IF(BM7=0, "May✓", "May")</f>
        <v/>
      </c>
      <c r="BN6" s="32">
        <f> IF(BN7=0, "Jun✓", "Jun")</f>
        <v/>
      </c>
      <c r="BO6" s="32">
        <f> IF(BO7=0, "Jul✓", "Jul")</f>
        <v/>
      </c>
      <c r="BP6" s="32">
        <f> IF(BP7=0, "Aug✓", "Aug")</f>
        <v/>
      </c>
      <c r="BQ6" s="32">
        <f> IF(BQ7=0, "Sep✓", "Sep")</f>
        <v/>
      </c>
      <c r="BR6" s="32">
        <f> IF(BR7=0, "Oct✓", "Oct")</f>
        <v/>
      </c>
      <c r="BS6" s="32">
        <f> IF(BS7=0, "Nov✓", "Nov")</f>
        <v/>
      </c>
      <c r="BT6" s="32">
        <f> IF(BT7=0, "Dec✓", "Dec")</f>
        <v/>
      </c>
      <c r="BU6" s="32">
        <f> IF(BU7=0, "Total✓", "Total")</f>
        <v/>
      </c>
      <c r="BW6" s="32">
        <f> IF(BW7=0, "Jan✓", "Jan")</f>
        <v/>
      </c>
      <c r="BX6" s="32">
        <f> IF(BX7=0, "Feb✓", "Feb")</f>
        <v/>
      </c>
      <c r="BY6" s="32">
        <f> IF(BY7=0, "Mar✓", "Mar")</f>
        <v/>
      </c>
      <c r="BZ6" s="32">
        <f> IF(BZ7=0, "Apr✓", "Apr")</f>
        <v/>
      </c>
      <c r="CA6" s="32">
        <f> IF(CA7=0, "May✓", "May")</f>
        <v/>
      </c>
      <c r="CB6" s="32">
        <f> IF(CB7=0, "Jun✓", "Jun")</f>
        <v/>
      </c>
      <c r="CC6" s="32">
        <f> IF(CC7=0, "Jul✓", "Jul")</f>
        <v/>
      </c>
      <c r="CD6" s="32">
        <f> IF(CD7=0, "Aug✓", "Aug")</f>
        <v/>
      </c>
      <c r="CE6" s="32">
        <f> IF(CE7=0, "Sep✓", "Sep")</f>
        <v/>
      </c>
      <c r="CF6" s="32">
        <f> IF(CF7=0, "Oct✓", "Oct")</f>
        <v/>
      </c>
      <c r="CG6" s="32">
        <f> IF(CG7=0, "Nov✓", "Nov")</f>
        <v/>
      </c>
      <c r="CH6" s="32">
        <f> IF(CH7=0, "Dec✓", "Dec")</f>
        <v/>
      </c>
      <c r="CI6" s="32">
        <f> IF(CI7=0, "Total✓", "Total")</f>
        <v/>
      </c>
      <c r="CK6" s="32">
        <f> IF(CK7=0, "Jan✓", "Jan")</f>
        <v/>
      </c>
      <c r="CL6" s="32">
        <f> IF(CL7=0, "Feb✓", "Feb")</f>
        <v/>
      </c>
      <c r="CM6" s="32">
        <f> IF(CM7=0, "Mar✓", "Mar")</f>
        <v/>
      </c>
      <c r="CN6" s="32">
        <f> IF(CN7=0, "Apr✓", "Apr")</f>
        <v/>
      </c>
      <c r="CO6" s="32">
        <f> IF(CO7=0, "May✓", "May")</f>
        <v/>
      </c>
      <c r="CP6" s="32">
        <f> IF(CP7=0, "Jun✓", "Jun")</f>
        <v/>
      </c>
      <c r="CQ6" s="32">
        <f> IF(CQ7=0, "Jul✓", "Jul")</f>
        <v/>
      </c>
      <c r="CR6" s="32">
        <f> IF(CR7=0, "Aug✓", "Aug")</f>
        <v/>
      </c>
      <c r="CS6" s="32">
        <f> IF(CS7=0, "Sep✓", "Sep")</f>
        <v/>
      </c>
      <c r="CT6" s="32">
        <f> IF(CT7=0, "Oct✓", "Oct")</f>
        <v/>
      </c>
      <c r="CU6" s="32">
        <f> IF(CU7=0, "Nov✓", "Nov")</f>
        <v/>
      </c>
      <c r="CV6" s="32">
        <f> IF(CV7=0, "Dec✓", "Dec")</f>
        <v/>
      </c>
      <c r="CW6" s="32">
        <f> IF(CW7=0, "Total✓", "Total")</f>
        <v/>
      </c>
      <c r="CY6" s="32">
        <f> IF(CY7=0, "Jan✓", "Jan")</f>
        <v/>
      </c>
      <c r="CZ6" s="32">
        <f> IF(CZ7=0, "Feb✓", "Feb")</f>
        <v/>
      </c>
      <c r="DA6" s="32">
        <f> IF(DA7=0, "Mar✓", "Mar")</f>
        <v/>
      </c>
      <c r="DB6" s="32">
        <f> IF(DB7=0, "Apr✓", "Apr")</f>
        <v/>
      </c>
      <c r="DC6" s="32">
        <f> IF(DC7=0, "May✓", "May")</f>
        <v/>
      </c>
      <c r="DD6" s="32">
        <f> IF(DD7=0, "Jun✓", "Jun")</f>
        <v/>
      </c>
      <c r="DE6" s="32">
        <f> IF(DE7=0, "Jul✓", "Jul")</f>
        <v/>
      </c>
      <c r="DF6" s="32">
        <f> IF(DF7=0, "Aug✓", "Aug")</f>
        <v/>
      </c>
      <c r="DG6" s="32">
        <f> IF(DG7=0, "Sep✓", "Sep")</f>
        <v/>
      </c>
      <c r="DH6" s="32">
        <f> IF(DH7=0, "Oct✓", "Oct")</f>
        <v/>
      </c>
      <c r="DI6" s="32">
        <f> IF(DI7=0, "Nov✓", "Nov")</f>
        <v/>
      </c>
      <c r="DJ6" s="32">
        <f> IF(DJ7=0, "Dec✓", "Dec")</f>
        <v/>
      </c>
      <c r="DK6" s="32">
        <f> IF(DK7=0, "Total✓", "Total")</f>
        <v/>
      </c>
      <c r="DM6" s="32">
        <f> IF(DM7=0, "Jan✓", "Jan")</f>
        <v/>
      </c>
      <c r="DN6" s="32">
        <f> IF(DN7=0, "Feb✓", "Feb")</f>
        <v/>
      </c>
      <c r="DO6" s="32">
        <f> IF(DO7=0, "Mar✓", "Mar")</f>
        <v/>
      </c>
      <c r="DP6" s="32">
        <f> IF(DP7=0, "Apr✓", "Apr")</f>
        <v/>
      </c>
      <c r="DQ6" s="32">
        <f> IF(DQ7=0, "May✓", "May")</f>
        <v/>
      </c>
      <c r="DR6" s="32">
        <f> IF(DR7=0, "Jun✓", "Jun")</f>
        <v/>
      </c>
      <c r="DS6" s="32">
        <f> IF(DS7=0, "Jul✓", "Jul")</f>
        <v/>
      </c>
      <c r="DT6" s="32">
        <f> IF(DT7=0, "Aug✓", "Aug")</f>
        <v/>
      </c>
      <c r="DU6" s="32">
        <f> IF(DU7=0, "Sep✓", "Sep")</f>
        <v/>
      </c>
      <c r="DV6" s="32">
        <f> IF(DV7=0, "Oct✓", "Oct")</f>
        <v/>
      </c>
      <c r="DW6" s="32">
        <f> IF(DW7=0, "Nov✓", "Nov")</f>
        <v/>
      </c>
      <c r="DX6" s="32">
        <f> IF(DX7=0, "Dec✓", "Dec")</f>
        <v/>
      </c>
      <c r="DY6" s="32">
        <f> IF(DY7=0, "Total✓", "Total")</f>
        <v/>
      </c>
      <c r="EA6" s="32">
        <f> IF(EA7=0, "Jan✓", "Jan")</f>
        <v/>
      </c>
      <c r="EB6" s="32">
        <f> IF(EB7=0, "Feb✓", "Feb")</f>
        <v/>
      </c>
      <c r="EC6" s="32">
        <f> IF(EC7=0, "Mar✓", "Mar")</f>
        <v/>
      </c>
      <c r="ED6" s="32">
        <f> IF(ED7=0, "Apr✓", "Apr")</f>
        <v/>
      </c>
      <c r="EE6" s="32">
        <f> IF(EE7=0, "May✓", "May")</f>
        <v/>
      </c>
      <c r="EF6" s="32">
        <f> IF(EF7=0, "Jun✓", "Jun")</f>
        <v/>
      </c>
      <c r="EG6" s="32">
        <f> IF(EG7=0, "Jul✓", "Jul")</f>
        <v/>
      </c>
      <c r="EH6" s="32">
        <f> IF(EH7=0, "Aug✓", "Aug")</f>
        <v/>
      </c>
      <c r="EI6" s="32">
        <f> IF(EI7=0, "Sep✓", "Sep")</f>
        <v/>
      </c>
      <c r="EJ6" s="32">
        <f> IF(EJ7=0, "Oct✓", "Oct")</f>
        <v/>
      </c>
      <c r="EK6" s="32">
        <f> IF(EK7=0, "Nov✓", "Nov")</f>
        <v/>
      </c>
      <c r="EL6" s="32">
        <f> IF(EL7=0, "Dec✓", "Dec")</f>
        <v/>
      </c>
      <c r="EM6" s="32">
        <f> IF(EM7=0, "Total✓", "Total")</f>
        <v/>
      </c>
    </row>
    <row r="7">
      <c r="C7" s="29" t="inlineStr">
        <is>
          <t>To be allocated:</t>
        </is>
      </c>
      <c r="E7" s="31">
        <f>E22-(E48+E60)</f>
        <v/>
      </c>
      <c r="F7" s="31">
        <f>F22-(F48+F60)</f>
        <v/>
      </c>
      <c r="G7" s="31">
        <f>G22-(G48+G60)</f>
        <v/>
      </c>
      <c r="H7" s="31">
        <f>H22-(H48+H60)</f>
        <v/>
      </c>
      <c r="I7" s="31">
        <f>I22-(I48+I60)</f>
        <v/>
      </c>
      <c r="J7" s="31">
        <f>J22-(J48+J60)</f>
        <v/>
      </c>
      <c r="K7" s="31">
        <f>K22-(K48+K60)</f>
        <v/>
      </c>
      <c r="L7" s="31">
        <f>L22-(L48+L60)</f>
        <v/>
      </c>
      <c r="M7" s="31">
        <f>M22-(M48+M60)</f>
        <v/>
      </c>
      <c r="N7" s="31">
        <f>N22-(N48+N60)</f>
        <v/>
      </c>
      <c r="O7" s="31">
        <f>O22-(O48+O60)</f>
        <v/>
      </c>
      <c r="P7" s="31">
        <f>P22-(P48+P60)</f>
        <v/>
      </c>
      <c r="Q7" s="31">
        <f>Q22-(Q48+Q60)</f>
        <v/>
      </c>
      <c r="S7" s="31">
        <f>S22-(S48+S60)</f>
        <v/>
      </c>
      <c r="T7" s="31">
        <f>T22-(T48+T60)</f>
        <v/>
      </c>
      <c r="U7" s="31">
        <f>U22-(U48+U60)</f>
        <v/>
      </c>
      <c r="V7" s="31">
        <f>V22-(V48+V60)</f>
        <v/>
      </c>
      <c r="W7" s="31">
        <f>W22-(W48+W60)</f>
        <v/>
      </c>
      <c r="X7" s="31">
        <f>X22-(X48+X60)</f>
        <v/>
      </c>
      <c r="Y7" s="31">
        <f>Y22-(Y48+Y60)</f>
        <v/>
      </c>
      <c r="Z7" s="31">
        <f>Z22-(Z48+Z60)</f>
        <v/>
      </c>
      <c r="AA7" s="31">
        <f>AA22-(AA48+AA60)</f>
        <v/>
      </c>
      <c r="AB7" s="31">
        <f>AB22-(AB48+AB60)</f>
        <v/>
      </c>
      <c r="AC7" s="31">
        <f>AC22-(AC48+AC60)</f>
        <v/>
      </c>
      <c r="AD7" s="31">
        <f>AD22-(AD48+AD60)</f>
        <v/>
      </c>
      <c r="AE7" s="31">
        <f>AE22-(AE48+AE60)</f>
        <v/>
      </c>
      <c r="AG7" s="31">
        <f>AG22-(AG48+AG60)</f>
        <v/>
      </c>
      <c r="AH7" s="31">
        <f>AH22-(AH48+AH60)</f>
        <v/>
      </c>
      <c r="AI7" s="31">
        <f>AI22-(AI48+AI60)</f>
        <v/>
      </c>
      <c r="AJ7" s="31">
        <f>AJ22-(AJ48+AJ60)</f>
        <v/>
      </c>
      <c r="AK7" s="31">
        <f>AK22-(AK48+AK60)</f>
        <v/>
      </c>
      <c r="AL7" s="31">
        <f>AL22-(AL48+AL60)</f>
        <v/>
      </c>
      <c r="AM7" s="31">
        <f>AM22-(AM48+AM60)</f>
        <v/>
      </c>
      <c r="AN7" s="31">
        <f>AN22-(AN48+AN60)</f>
        <v/>
      </c>
      <c r="AO7" s="31">
        <f>AO22-(AO48+AO60)</f>
        <v/>
      </c>
      <c r="AP7" s="31">
        <f>AP22-(AP48+AP60)</f>
        <v/>
      </c>
      <c r="AQ7" s="31">
        <f>AQ22-(AQ48+AQ60)</f>
        <v/>
      </c>
      <c r="AR7" s="31">
        <f>AR22-(AR48+AR60)</f>
        <v/>
      </c>
      <c r="AS7" s="31">
        <f>AS22-(AS48+AS60)</f>
        <v/>
      </c>
      <c r="AU7" s="31">
        <f>AU22-(AU48+AU60)</f>
        <v/>
      </c>
      <c r="AV7" s="31">
        <f>AV22-(AV48+AV60)</f>
        <v/>
      </c>
      <c r="AW7" s="31">
        <f>AW22-(AW48+AW60)</f>
        <v/>
      </c>
      <c r="AX7" s="31">
        <f>AX22-(AX48+AX60)</f>
        <v/>
      </c>
      <c r="AY7" s="31">
        <f>AY22-(AY48+AY60)</f>
        <v/>
      </c>
      <c r="AZ7" s="31">
        <f>AZ22-(AZ48+AZ60)</f>
        <v/>
      </c>
      <c r="BA7" s="31">
        <f>BA22-(BA48+BA60)</f>
        <v/>
      </c>
      <c r="BB7" s="31">
        <f>BB22-(BB48+BB60)</f>
        <v/>
      </c>
      <c r="BC7" s="31">
        <f>BC22-(BC48+BC60)</f>
        <v/>
      </c>
      <c r="BD7" s="31">
        <f>BD22-(BD48+BD60)</f>
        <v/>
      </c>
      <c r="BE7" s="31">
        <f>BE22-(BE48+BE60)</f>
        <v/>
      </c>
      <c r="BF7" s="31">
        <f>BF22-(BF48+BF60)</f>
        <v/>
      </c>
      <c r="BG7" s="31">
        <f>BG22-(BG48+BG60)</f>
        <v/>
      </c>
      <c r="BI7" s="31">
        <f>BI22-(BI48+BI60)</f>
        <v/>
      </c>
      <c r="BJ7" s="31">
        <f>BJ22-(BJ48+BJ60)</f>
        <v/>
      </c>
      <c r="BK7" s="31">
        <f>BK22-(BK48+BK60)</f>
        <v/>
      </c>
      <c r="BL7" s="31">
        <f>BL22-(BL48+BL60)</f>
        <v/>
      </c>
      <c r="BM7" s="31">
        <f>BM22-(BM48+BM60)</f>
        <v/>
      </c>
      <c r="BN7" s="31">
        <f>BN22-(BN48+BN60)</f>
        <v/>
      </c>
      <c r="BO7" s="31">
        <f>BO22-(BO48+BO60)</f>
        <v/>
      </c>
      <c r="BP7" s="31">
        <f>BP22-(BP48+BP60)</f>
        <v/>
      </c>
      <c r="BQ7" s="31">
        <f>BQ22-(BQ48+BQ60)</f>
        <v/>
      </c>
      <c r="BR7" s="31">
        <f>BR22-(BR48+BR60)</f>
        <v/>
      </c>
      <c r="BS7" s="31">
        <f>BS22-(BS48+BS60)</f>
        <v/>
      </c>
      <c r="BT7" s="31">
        <f>BT22-(BT48+BT60)</f>
        <v/>
      </c>
      <c r="BU7" s="31">
        <f>BU22-(BU48+BU60)</f>
        <v/>
      </c>
      <c r="BW7" s="31">
        <f>BW22-(BW48+BW60)</f>
        <v/>
      </c>
      <c r="BX7" s="31">
        <f>BX22-(BX48+BX60)</f>
        <v/>
      </c>
      <c r="BY7" s="31">
        <f>BY22-(BY48+BY60)</f>
        <v/>
      </c>
      <c r="BZ7" s="31">
        <f>BZ22-(BZ48+BZ60)</f>
        <v/>
      </c>
      <c r="CA7" s="31">
        <f>CA22-(CA48+CA60)</f>
        <v/>
      </c>
      <c r="CB7" s="31">
        <f>CB22-(CB48+CB60)</f>
        <v/>
      </c>
      <c r="CC7" s="31">
        <f>CC22-(CC48+CC60)</f>
        <v/>
      </c>
      <c r="CD7" s="31">
        <f>CD22-(CD48+CD60)</f>
        <v/>
      </c>
      <c r="CE7" s="31">
        <f>CE22-(CE48+CE60)</f>
        <v/>
      </c>
      <c r="CF7" s="31">
        <f>CF22-(CF48+CF60)</f>
        <v/>
      </c>
      <c r="CG7" s="31">
        <f>CG22-(CG48+CG60)</f>
        <v/>
      </c>
      <c r="CH7" s="31">
        <f>CH22-(CH48+CH60)</f>
        <v/>
      </c>
      <c r="CI7" s="31">
        <f>CI22-(CI48+CI60)</f>
        <v/>
      </c>
      <c r="CK7" s="31">
        <f>CK22-(CK48+CK60)</f>
        <v/>
      </c>
      <c r="CL7" s="31">
        <f>CL22-(CL48+CL60)</f>
        <v/>
      </c>
      <c r="CM7" s="31">
        <f>CM22-(CM48+CM60)</f>
        <v/>
      </c>
      <c r="CN7" s="31">
        <f>CN22-(CN48+CN60)</f>
        <v/>
      </c>
      <c r="CO7" s="31">
        <f>CO22-(CO48+CO60)</f>
        <v/>
      </c>
      <c r="CP7" s="31">
        <f>CP22-(CP48+CP60)</f>
        <v/>
      </c>
      <c r="CQ7" s="31">
        <f>CQ22-(CQ48+CQ60)</f>
        <v/>
      </c>
      <c r="CR7" s="31">
        <f>CR22-(CR48+CR60)</f>
        <v/>
      </c>
      <c r="CS7" s="31">
        <f>CS22-(CS48+CS60)</f>
        <v/>
      </c>
      <c r="CT7" s="31">
        <f>CT22-(CT48+CT60)</f>
        <v/>
      </c>
      <c r="CU7" s="31">
        <f>CU22-(CU48+CU60)</f>
        <v/>
      </c>
      <c r="CV7" s="31">
        <f>CV22-(CV48+CV60)</f>
        <v/>
      </c>
      <c r="CW7" s="31">
        <f>CW22-(CW48+CW60)</f>
        <v/>
      </c>
      <c r="CY7" s="31">
        <f>CY22-(CY48+CY60)</f>
        <v/>
      </c>
      <c r="CZ7" s="31">
        <f>CZ22-(CZ48+CZ60)</f>
        <v/>
      </c>
      <c r="DA7" s="31">
        <f>DA22-(DA48+DA60)</f>
        <v/>
      </c>
      <c r="DB7" s="31">
        <f>DB22-(DB48+DB60)</f>
        <v/>
      </c>
      <c r="DC7" s="31">
        <f>DC22-(DC48+DC60)</f>
        <v/>
      </c>
      <c r="DD7" s="31">
        <f>DD22-(DD48+DD60)</f>
        <v/>
      </c>
      <c r="DE7" s="31">
        <f>DE22-(DE48+DE60)</f>
        <v/>
      </c>
      <c r="DF7" s="31">
        <f>DF22-(DF48+DF60)</f>
        <v/>
      </c>
      <c r="DG7" s="31">
        <f>DG22-(DG48+DG60)</f>
        <v/>
      </c>
      <c r="DH7" s="31">
        <f>DH22-(DH48+DH60)</f>
        <v/>
      </c>
      <c r="DI7" s="31">
        <f>DI22-(DI48+DI60)</f>
        <v/>
      </c>
      <c r="DJ7" s="31">
        <f>DJ22-(DJ48+DJ60)</f>
        <v/>
      </c>
      <c r="DK7" s="31">
        <f>DK22-(DK48+DK60)</f>
        <v/>
      </c>
      <c r="DM7" s="31">
        <f>DM22-(DM48+DM60)</f>
        <v/>
      </c>
      <c r="DN7" s="31">
        <f>DN22-(DN48+DN60)</f>
        <v/>
      </c>
      <c r="DO7" s="31">
        <f>DO22-(DO48+DO60)</f>
        <v/>
      </c>
      <c r="DP7" s="31">
        <f>DP22-(DP48+DP60)</f>
        <v/>
      </c>
      <c r="DQ7" s="31">
        <f>DQ22-(DQ48+DQ60)</f>
        <v/>
      </c>
      <c r="DR7" s="31">
        <f>DR22-(DR48+DR60)</f>
        <v/>
      </c>
      <c r="DS7" s="31">
        <f>DS22-(DS48+DS60)</f>
        <v/>
      </c>
      <c r="DT7" s="31">
        <f>DT22-(DT48+DT60)</f>
        <v/>
      </c>
      <c r="DU7" s="31">
        <f>DU22-(DU48+DU60)</f>
        <v/>
      </c>
      <c r="DV7" s="31">
        <f>DV22-(DV48+DV60)</f>
        <v/>
      </c>
      <c r="DW7" s="31">
        <f>DW22-(DW48+DW60)</f>
        <v/>
      </c>
      <c r="DX7" s="31">
        <f>DX22-(DX48+DX60)</f>
        <v/>
      </c>
      <c r="DY7" s="31">
        <f>DY22-(DY48+DY60)</f>
        <v/>
      </c>
      <c r="EA7" s="31">
        <f>EA22-(EA48+EA60)</f>
        <v/>
      </c>
      <c r="EB7" s="31">
        <f>EB22-(EB48+EB60)</f>
        <v/>
      </c>
      <c r="EC7" s="31">
        <f>EC22-(EC48+EC60)</f>
        <v/>
      </c>
      <c r="ED7" s="31">
        <f>ED22-(ED48+ED60)</f>
        <v/>
      </c>
      <c r="EE7" s="31">
        <f>EE22-(EE48+EE60)</f>
        <v/>
      </c>
      <c r="EF7" s="31">
        <f>EF22-(EF48+EF60)</f>
        <v/>
      </c>
      <c r="EG7" s="31">
        <f>EG22-(EG48+EG60)</f>
        <v/>
      </c>
      <c r="EH7" s="31">
        <f>EH22-(EH48+EH60)</f>
        <v/>
      </c>
      <c r="EI7" s="31">
        <f>EI22-(EI48+EI60)</f>
        <v/>
      </c>
      <c r="EJ7" s="31">
        <f>EJ22-(EJ48+EJ60)</f>
        <v/>
      </c>
      <c r="EK7" s="31">
        <f>EK22-(EK48+EK60)</f>
        <v/>
      </c>
      <c r="EL7" s="31">
        <f>EL22-(EL48+EL60)</f>
        <v/>
      </c>
      <c r="EM7" s="31">
        <f>EM22-(EM48+EM60)</f>
        <v/>
      </c>
    </row>
    <row r="9">
      <c r="C9" s="15" t="inlineStr">
        <is>
          <t>Income</t>
        </is>
      </c>
      <c r="E9" s="19">
        <f> DATE(E$5,1,1)</f>
        <v/>
      </c>
      <c r="F9" s="19">
        <f> DATE(E$5,2,1)</f>
        <v/>
      </c>
      <c r="G9" s="19">
        <f> DATE(E$5,3,1)</f>
        <v/>
      </c>
      <c r="H9" s="19">
        <f> DATE(E$5,4,1)</f>
        <v/>
      </c>
      <c r="I9" s="19">
        <f> DATE(E$5,5,1)</f>
        <v/>
      </c>
      <c r="J9" s="19">
        <f> DATE(E$5,6,1)</f>
        <v/>
      </c>
      <c r="K9" s="19">
        <f> DATE(E$5,7,1)</f>
        <v/>
      </c>
      <c r="L9" s="19">
        <f> DATE(E$5,8,1)</f>
        <v/>
      </c>
      <c r="M9" s="19">
        <f> DATE(E$5,9,1)</f>
        <v/>
      </c>
      <c r="N9" s="19">
        <f> DATE(E$5,10,1)</f>
        <v/>
      </c>
      <c r="O9" s="19">
        <f> DATE(E$5,11,1)</f>
        <v/>
      </c>
      <c r="P9" s="19">
        <f> DATE(E$5,12,1)</f>
        <v/>
      </c>
      <c r="Q9" s="18">
        <f>E$5</f>
        <v/>
      </c>
      <c r="S9" s="19">
        <f> DATE(S$5,1,1)</f>
        <v/>
      </c>
      <c r="T9" s="19">
        <f> DATE(S$5,2,1)</f>
        <v/>
      </c>
      <c r="U9" s="19">
        <f> DATE(S$5,3,1)</f>
        <v/>
      </c>
      <c r="V9" s="19">
        <f> DATE(S$5,4,1)</f>
        <v/>
      </c>
      <c r="W9" s="19">
        <f> DATE(S$5,5,1)</f>
        <v/>
      </c>
      <c r="X9" s="19">
        <f> DATE(S$5,6,1)</f>
        <v/>
      </c>
      <c r="Y9" s="19">
        <f> DATE(S$5,7,1)</f>
        <v/>
      </c>
      <c r="Z9" s="19">
        <f> DATE(S$5,8,1)</f>
        <v/>
      </c>
      <c r="AA9" s="19">
        <f> DATE(S$5,9,1)</f>
        <v/>
      </c>
      <c r="AB9" s="19">
        <f> DATE(S$5,10,1)</f>
        <v/>
      </c>
      <c r="AC9" s="19">
        <f> DATE(S$5,11,1)</f>
        <v/>
      </c>
      <c r="AD9" s="19">
        <f> DATE(S$5,12,1)</f>
        <v/>
      </c>
      <c r="AE9" s="18">
        <f>S$5</f>
        <v/>
      </c>
      <c r="AG9" s="19">
        <f> DATE(AG$5,1,1)</f>
        <v/>
      </c>
      <c r="AH9" s="19">
        <f> DATE(AG$5,2,1)</f>
        <v/>
      </c>
      <c r="AI9" s="19">
        <f> DATE(AG$5,3,1)</f>
        <v/>
      </c>
      <c r="AJ9" s="19">
        <f> DATE(AG$5,4,1)</f>
        <v/>
      </c>
      <c r="AK9" s="19">
        <f> DATE(AG$5,5,1)</f>
        <v/>
      </c>
      <c r="AL9" s="19">
        <f> DATE(AG$5,6,1)</f>
        <v/>
      </c>
      <c r="AM9" s="19">
        <f> DATE(AG$5,7,1)</f>
        <v/>
      </c>
      <c r="AN9" s="19">
        <f> DATE(AG$5,8,1)</f>
        <v/>
      </c>
      <c r="AO9" s="19">
        <f> DATE(AG$5,9,1)</f>
        <v/>
      </c>
      <c r="AP9" s="19">
        <f> DATE(AG$5,10,1)</f>
        <v/>
      </c>
      <c r="AQ9" s="19">
        <f> DATE(AG$5,11,1)</f>
        <v/>
      </c>
      <c r="AR9" s="19">
        <f> DATE(AG$5,12,1)</f>
        <v/>
      </c>
      <c r="AS9" s="18">
        <f>AG$5</f>
        <v/>
      </c>
      <c r="AU9" s="19">
        <f> DATE(AU$5,1,1)</f>
        <v/>
      </c>
      <c r="AV9" s="19">
        <f> DATE(AU$5,2,1)</f>
        <v/>
      </c>
      <c r="AW9" s="19">
        <f> DATE(AU$5,3,1)</f>
        <v/>
      </c>
      <c r="AX9" s="19">
        <f> DATE(AU$5,4,1)</f>
        <v/>
      </c>
      <c r="AY9" s="19">
        <f> DATE(AU$5,5,1)</f>
        <v/>
      </c>
      <c r="AZ9" s="19">
        <f> DATE(AU$5,6,1)</f>
        <v/>
      </c>
      <c r="BA9" s="19">
        <f> DATE(AU$5,7,1)</f>
        <v/>
      </c>
      <c r="BB9" s="19">
        <f> DATE(AU$5,8,1)</f>
        <v/>
      </c>
      <c r="BC9" s="19">
        <f> DATE(AU$5,9,1)</f>
        <v/>
      </c>
      <c r="BD9" s="19">
        <f> DATE(AU$5,10,1)</f>
        <v/>
      </c>
      <c r="BE9" s="19">
        <f> DATE(AU$5,11,1)</f>
        <v/>
      </c>
      <c r="BF9" s="19">
        <f> DATE(AU$5,12,1)</f>
        <v/>
      </c>
      <c r="BG9" s="18">
        <f>AU$5</f>
        <v/>
      </c>
      <c r="BI9" s="19">
        <f> DATE(BI$5,1,1)</f>
        <v/>
      </c>
      <c r="BJ9" s="19">
        <f> DATE(BI$5,2,1)</f>
        <v/>
      </c>
      <c r="BK9" s="19">
        <f> DATE(BI$5,3,1)</f>
        <v/>
      </c>
      <c r="BL9" s="19">
        <f> DATE(BI$5,4,1)</f>
        <v/>
      </c>
      <c r="BM9" s="19">
        <f> DATE(BI$5,5,1)</f>
        <v/>
      </c>
      <c r="BN9" s="19">
        <f> DATE(BI$5,6,1)</f>
        <v/>
      </c>
      <c r="BO9" s="19">
        <f> DATE(BI$5,7,1)</f>
        <v/>
      </c>
      <c r="BP9" s="19">
        <f> DATE(BI$5,8,1)</f>
        <v/>
      </c>
      <c r="BQ9" s="19">
        <f> DATE(BI$5,9,1)</f>
        <v/>
      </c>
      <c r="BR9" s="19">
        <f> DATE(BI$5,10,1)</f>
        <v/>
      </c>
      <c r="BS9" s="19">
        <f> DATE(BI$5,11,1)</f>
        <v/>
      </c>
      <c r="BT9" s="19">
        <f> DATE(BI$5,12,1)</f>
        <v/>
      </c>
      <c r="BU9" s="18">
        <f>BI$5</f>
        <v/>
      </c>
      <c r="BW9" s="19">
        <f> DATE(BW$5,1,1)</f>
        <v/>
      </c>
      <c r="BX9" s="19">
        <f> DATE(BW$5,2,1)</f>
        <v/>
      </c>
      <c r="BY9" s="19">
        <f> DATE(BW$5,3,1)</f>
        <v/>
      </c>
      <c r="BZ9" s="19">
        <f> DATE(BW$5,4,1)</f>
        <v/>
      </c>
      <c r="CA9" s="19">
        <f> DATE(BW$5,5,1)</f>
        <v/>
      </c>
      <c r="CB9" s="19">
        <f> DATE(BW$5,6,1)</f>
        <v/>
      </c>
      <c r="CC9" s="19">
        <f> DATE(BW$5,7,1)</f>
        <v/>
      </c>
      <c r="CD9" s="19">
        <f> DATE(BW$5,8,1)</f>
        <v/>
      </c>
      <c r="CE9" s="19">
        <f> DATE(BW$5,9,1)</f>
        <v/>
      </c>
      <c r="CF9" s="19">
        <f> DATE(BW$5,10,1)</f>
        <v/>
      </c>
      <c r="CG9" s="19">
        <f> DATE(BW$5,11,1)</f>
        <v/>
      </c>
      <c r="CH9" s="19">
        <f> DATE(BW$5,12,1)</f>
        <v/>
      </c>
      <c r="CI9" s="18">
        <f>BW$5</f>
        <v/>
      </c>
      <c r="CK9" s="19">
        <f> DATE(CK$5,1,1)</f>
        <v/>
      </c>
      <c r="CL9" s="19">
        <f> DATE(CK$5,2,1)</f>
        <v/>
      </c>
      <c r="CM9" s="19">
        <f> DATE(CK$5,3,1)</f>
        <v/>
      </c>
      <c r="CN9" s="19">
        <f> DATE(CK$5,4,1)</f>
        <v/>
      </c>
      <c r="CO9" s="19">
        <f> DATE(CK$5,5,1)</f>
        <v/>
      </c>
      <c r="CP9" s="19">
        <f> DATE(CK$5,6,1)</f>
        <v/>
      </c>
      <c r="CQ9" s="19">
        <f> DATE(CK$5,7,1)</f>
        <v/>
      </c>
      <c r="CR9" s="19">
        <f> DATE(CK$5,8,1)</f>
        <v/>
      </c>
      <c r="CS9" s="19">
        <f> DATE(CK$5,9,1)</f>
        <v/>
      </c>
      <c r="CT9" s="19">
        <f> DATE(CK$5,10,1)</f>
        <v/>
      </c>
      <c r="CU9" s="19">
        <f> DATE(CK$5,11,1)</f>
        <v/>
      </c>
      <c r="CV9" s="19">
        <f> DATE(CK$5,12,1)</f>
        <v/>
      </c>
      <c r="CW9" s="18">
        <f>CK$5</f>
        <v/>
      </c>
      <c r="CY9" s="19">
        <f> DATE(CY$5,1,1)</f>
        <v/>
      </c>
      <c r="CZ9" s="19">
        <f> DATE(CY$5,2,1)</f>
        <v/>
      </c>
      <c r="DA9" s="19">
        <f> DATE(CY$5,3,1)</f>
        <v/>
      </c>
      <c r="DB9" s="19">
        <f> DATE(CY$5,4,1)</f>
        <v/>
      </c>
      <c r="DC9" s="19">
        <f> DATE(CY$5,5,1)</f>
        <v/>
      </c>
      <c r="DD9" s="19">
        <f> DATE(CY$5,6,1)</f>
        <v/>
      </c>
      <c r="DE9" s="19">
        <f> DATE(CY$5,7,1)</f>
        <v/>
      </c>
      <c r="DF9" s="19">
        <f> DATE(CY$5,8,1)</f>
        <v/>
      </c>
      <c r="DG9" s="19">
        <f> DATE(CY$5,9,1)</f>
        <v/>
      </c>
      <c r="DH9" s="19">
        <f> DATE(CY$5,10,1)</f>
        <v/>
      </c>
      <c r="DI9" s="19">
        <f> DATE(CY$5,11,1)</f>
        <v/>
      </c>
      <c r="DJ9" s="19">
        <f> DATE(CY$5,12,1)</f>
        <v/>
      </c>
      <c r="DK9" s="18">
        <f>CY$5</f>
        <v/>
      </c>
      <c r="DM9" s="19">
        <f> DATE(DM$5,1,1)</f>
        <v/>
      </c>
      <c r="DN9" s="19">
        <f> DATE(DM$5,2,1)</f>
        <v/>
      </c>
      <c r="DO9" s="19">
        <f> DATE(DM$5,3,1)</f>
        <v/>
      </c>
      <c r="DP9" s="19">
        <f> DATE(DM$5,4,1)</f>
        <v/>
      </c>
      <c r="DQ9" s="19">
        <f> DATE(DM$5,5,1)</f>
        <v/>
      </c>
      <c r="DR9" s="19">
        <f> DATE(DM$5,6,1)</f>
        <v/>
      </c>
      <c r="DS9" s="19">
        <f> DATE(DM$5,7,1)</f>
        <v/>
      </c>
      <c r="DT9" s="19">
        <f> DATE(DM$5,8,1)</f>
        <v/>
      </c>
      <c r="DU9" s="19">
        <f> DATE(DM$5,9,1)</f>
        <v/>
      </c>
      <c r="DV9" s="19">
        <f> DATE(DM$5,10,1)</f>
        <v/>
      </c>
      <c r="DW9" s="19">
        <f> DATE(DM$5,11,1)</f>
        <v/>
      </c>
      <c r="DX9" s="19">
        <f> DATE(DM$5,12,1)</f>
        <v/>
      </c>
      <c r="DY9" s="18">
        <f>DM$5</f>
        <v/>
      </c>
      <c r="EA9" s="19">
        <f> DATE(EA$5,1,1)</f>
        <v/>
      </c>
      <c r="EB9" s="19">
        <f> DATE(EA$5,2,1)</f>
        <v/>
      </c>
      <c r="EC9" s="19">
        <f> DATE(EA$5,3,1)</f>
        <v/>
      </c>
      <c r="ED9" s="19">
        <f> DATE(EA$5,4,1)</f>
        <v/>
      </c>
      <c r="EE9" s="19">
        <f> DATE(EA$5,5,1)</f>
        <v/>
      </c>
      <c r="EF9" s="19">
        <f> DATE(EA$5,6,1)</f>
        <v/>
      </c>
      <c r="EG9" s="19">
        <f> DATE(EA$5,7,1)</f>
        <v/>
      </c>
      <c r="EH9" s="19">
        <f> DATE(EA$5,8,1)</f>
        <v/>
      </c>
      <c r="EI9" s="19">
        <f> DATE(EA$5,9,1)</f>
        <v/>
      </c>
      <c r="EJ9" s="19">
        <f> DATE(EA$5,10,1)</f>
        <v/>
      </c>
      <c r="EK9" s="19">
        <f> DATE(EA$5,11,1)</f>
        <v/>
      </c>
      <c r="EL9" s="19">
        <f> DATE(EA$5,12,1)</f>
        <v/>
      </c>
      <c r="EM9" s="18">
        <f>EA$5</f>
        <v/>
      </c>
    </row>
    <row r="10">
      <c r="C10" s="20" t="inlineStr">
        <is>
          <t>Employment (Net)</t>
        </is>
      </c>
      <c r="E10" s="62" t="n"/>
      <c r="F10" s="62" t="n"/>
      <c r="G10" s="62" t="n"/>
      <c r="H10" s="62" t="n"/>
      <c r="I10" s="62" t="n"/>
      <c r="J10" s="62" t="n"/>
      <c r="K10" s="62" t="n"/>
      <c r="L10" s="62" t="n"/>
      <c r="M10" s="62" t="n"/>
      <c r="N10" s="21" t="n"/>
      <c r="O10" s="21" t="n"/>
      <c r="P10" s="21" t="n"/>
      <c r="Q10" s="63">
        <f> SUM(E10:P10)</f>
        <v/>
      </c>
      <c r="S10" s="21" t="n">
        <v>5000</v>
      </c>
      <c r="T10" s="21" t="n"/>
      <c r="U10" s="21" t="n"/>
      <c r="V10" s="21" t="n"/>
      <c r="W10" s="21" t="n"/>
      <c r="X10" s="21" t="n"/>
      <c r="Y10" s="21" t="n"/>
      <c r="Z10" s="21" t="n"/>
      <c r="AA10" s="21" t="n"/>
      <c r="AB10" s="21" t="n"/>
      <c r="AC10" s="21" t="n"/>
      <c r="AD10" s="21" t="n"/>
      <c r="AE10" s="23">
        <f> SUM(S10:AD10)</f>
        <v/>
      </c>
      <c r="AG10" s="21" t="n"/>
      <c r="AH10" s="21" t="n"/>
      <c r="AI10" s="21" t="n"/>
      <c r="AJ10" s="21" t="n"/>
      <c r="AK10" s="21" t="n"/>
      <c r="AL10" s="21" t="n"/>
      <c r="AM10" s="21" t="n"/>
      <c r="AN10" s="21" t="n"/>
      <c r="AO10" s="21" t="n"/>
      <c r="AP10" s="21" t="n"/>
      <c r="AQ10" s="21" t="n"/>
      <c r="AR10" s="21" t="n"/>
      <c r="AS10" s="23">
        <f> SUM(AG10:AR10)</f>
        <v/>
      </c>
      <c r="AU10" s="21" t="n"/>
      <c r="AV10" s="21" t="n"/>
      <c r="AW10" s="21" t="n"/>
      <c r="AX10" s="21" t="n"/>
      <c r="AY10" s="21" t="n"/>
      <c r="AZ10" s="21" t="n"/>
      <c r="BA10" s="21" t="n"/>
      <c r="BB10" s="21" t="n"/>
      <c r="BC10" s="21" t="n"/>
      <c r="BD10" s="21" t="n"/>
      <c r="BE10" s="21" t="n"/>
      <c r="BF10" s="21" t="n"/>
      <c r="BG10" s="23">
        <f> SUM(AU10:BF10)</f>
        <v/>
      </c>
      <c r="BI10" s="21" t="n"/>
      <c r="BJ10" s="21" t="n"/>
      <c r="BK10" s="21" t="n"/>
      <c r="BL10" s="21" t="n"/>
      <c r="BM10" s="21" t="n"/>
      <c r="BN10" s="21" t="n"/>
      <c r="BO10" s="21" t="n"/>
      <c r="BP10" s="21" t="n"/>
      <c r="BQ10" s="21" t="n"/>
      <c r="BR10" s="21" t="n"/>
      <c r="BS10" s="21" t="n"/>
      <c r="BT10" s="21" t="n"/>
      <c r="BU10" s="23">
        <f> SUM(BI10:BT10)</f>
        <v/>
      </c>
      <c r="BW10" s="21" t="n"/>
      <c r="BX10" s="21" t="n"/>
      <c r="BY10" s="21" t="n"/>
      <c r="BZ10" s="21" t="n"/>
      <c r="CA10" s="21" t="n"/>
      <c r="CB10" s="21" t="n"/>
      <c r="CC10" s="21" t="n"/>
      <c r="CD10" s="21" t="n"/>
      <c r="CE10" s="21" t="n"/>
      <c r="CF10" s="21" t="n"/>
      <c r="CG10" s="21" t="n"/>
      <c r="CH10" s="21" t="n"/>
      <c r="CI10" s="23">
        <f> SUM(BW10:CH10)</f>
        <v/>
      </c>
      <c r="CK10" s="21" t="n"/>
      <c r="CL10" s="21" t="n"/>
      <c r="CM10" s="21" t="n"/>
      <c r="CN10" s="21" t="n"/>
      <c r="CO10" s="21" t="n"/>
      <c r="CP10" s="21" t="n"/>
      <c r="CQ10" s="21" t="n"/>
      <c r="CR10" s="21" t="n"/>
      <c r="CS10" s="21" t="n"/>
      <c r="CT10" s="21" t="n"/>
      <c r="CU10" s="21" t="n"/>
      <c r="CV10" s="21" t="n"/>
      <c r="CW10" s="23">
        <f> SUM(CK10:CV10)</f>
        <v/>
      </c>
      <c r="CY10" s="21" t="n"/>
      <c r="CZ10" s="21" t="n"/>
      <c r="DA10" s="21" t="n"/>
      <c r="DB10" s="21" t="n"/>
      <c r="DC10" s="21" t="n"/>
      <c r="DD10" s="21" t="n"/>
      <c r="DE10" s="21" t="n"/>
      <c r="DF10" s="21" t="n"/>
      <c r="DG10" s="21" t="n"/>
      <c r="DH10" s="21" t="n"/>
      <c r="DI10" s="21" t="n"/>
      <c r="DJ10" s="21" t="n"/>
      <c r="DK10" s="23">
        <f> SUM(CY10:DJ10)</f>
        <v/>
      </c>
      <c r="DM10" s="21" t="n"/>
      <c r="DN10" s="21" t="n"/>
      <c r="DO10" s="21" t="n"/>
      <c r="DP10" s="21" t="n"/>
      <c r="DQ10" s="21" t="n"/>
      <c r="DR10" s="21" t="n"/>
      <c r="DS10" s="21" t="n"/>
      <c r="DT10" s="21" t="n"/>
      <c r="DU10" s="21" t="n"/>
      <c r="DV10" s="21" t="n"/>
      <c r="DW10" s="21" t="n"/>
      <c r="DX10" s="21" t="n"/>
      <c r="DY10" s="23">
        <f> SUM(DM10:DX10)</f>
        <v/>
      </c>
      <c r="EA10" s="21" t="n"/>
      <c r="EB10" s="21" t="n"/>
      <c r="EC10" s="21" t="n"/>
      <c r="ED10" s="21" t="n"/>
      <c r="EE10" s="21" t="n"/>
      <c r="EF10" s="21" t="n"/>
      <c r="EG10" s="21" t="n"/>
      <c r="EH10" s="21" t="n"/>
      <c r="EI10" s="21" t="n"/>
      <c r="EJ10" s="21" t="n"/>
      <c r="EK10" s="21" t="n"/>
      <c r="EL10" s="21" t="n"/>
      <c r="EM10" s="23">
        <f> SUM(EA10:EL10)</f>
        <v/>
      </c>
    </row>
    <row r="11">
      <c r="C11" s="20" t="inlineStr">
        <is>
          <t>Reimbursements</t>
        </is>
      </c>
      <c r="E11" s="62" t="n"/>
      <c r="F11" s="62" t="n"/>
      <c r="G11" s="62" t="n"/>
      <c r="H11" s="62" t="n"/>
      <c r="I11" s="62" t="n"/>
      <c r="J11" s="62" t="n"/>
      <c r="K11" s="62" t="n"/>
      <c r="L11" s="62" t="n"/>
      <c r="M11" s="62" t="n"/>
      <c r="N11" s="21" t="n"/>
      <c r="O11" s="21" t="n"/>
      <c r="P11" s="21" t="n"/>
      <c r="Q11" s="63">
        <f> SUM(E11:P11)</f>
        <v/>
      </c>
      <c r="S11" s="21" t="n"/>
      <c r="T11" s="21" t="n"/>
      <c r="U11" s="21" t="n"/>
      <c r="V11" s="21" t="n"/>
      <c r="W11" s="21" t="n"/>
      <c r="X11" s="21" t="n"/>
      <c r="Y11" s="21" t="n"/>
      <c r="Z11" s="21" t="n"/>
      <c r="AA11" s="21" t="n"/>
      <c r="AB11" s="21" t="n"/>
      <c r="AC11" s="21" t="n"/>
      <c r="AD11" s="21" t="n"/>
      <c r="AE11" s="23">
        <f> SUM(S11:AD11)</f>
        <v/>
      </c>
      <c r="AG11" s="21" t="n"/>
      <c r="AH11" s="21" t="n"/>
      <c r="AI11" s="21" t="n"/>
      <c r="AJ11" s="21" t="n"/>
      <c r="AK11" s="21" t="n"/>
      <c r="AL11" s="21" t="n"/>
      <c r="AM11" s="21" t="n"/>
      <c r="AN11" s="21" t="n"/>
      <c r="AO11" s="21" t="n"/>
      <c r="AP11" s="21" t="n"/>
      <c r="AQ11" s="21" t="n"/>
      <c r="AR11" s="21" t="n"/>
      <c r="AS11" s="23" t="n"/>
      <c r="AU11" s="21" t="n"/>
      <c r="AV11" s="21" t="n"/>
      <c r="AW11" s="21" t="n"/>
      <c r="AX11" s="21" t="n"/>
      <c r="AY11" s="21" t="n"/>
      <c r="AZ11" s="21" t="n"/>
      <c r="BA11" s="21" t="n"/>
      <c r="BB11" s="21" t="n"/>
      <c r="BC11" s="21" t="n"/>
      <c r="BD11" s="21" t="n"/>
      <c r="BE11" s="21" t="n"/>
      <c r="BF11" s="21" t="n"/>
      <c r="BG11" s="23" t="n"/>
      <c r="BI11" s="21" t="n"/>
      <c r="BJ11" s="21" t="n"/>
      <c r="BK11" s="21" t="n"/>
      <c r="BL11" s="21" t="n"/>
      <c r="BM11" s="21" t="n"/>
      <c r="BN11" s="21" t="n"/>
      <c r="BO11" s="21" t="n"/>
      <c r="BP11" s="21" t="n"/>
      <c r="BQ11" s="21" t="n"/>
      <c r="BR11" s="21" t="n"/>
      <c r="BS11" s="21" t="n"/>
      <c r="BT11" s="21" t="n"/>
      <c r="BU11" s="23" t="n"/>
      <c r="BW11" s="21" t="n"/>
      <c r="BX11" s="21" t="n"/>
      <c r="BY11" s="21" t="n"/>
      <c r="BZ11" s="21" t="n"/>
      <c r="CA11" s="21" t="n"/>
      <c r="CB11" s="21" t="n"/>
      <c r="CC11" s="21" t="n"/>
      <c r="CD11" s="21" t="n"/>
      <c r="CE11" s="21" t="n"/>
      <c r="CF11" s="21" t="n"/>
      <c r="CG11" s="21" t="n"/>
      <c r="CH11" s="21" t="n"/>
      <c r="CI11" s="23" t="n"/>
      <c r="CK11" s="21" t="n"/>
      <c r="CL11" s="21" t="n"/>
      <c r="CM11" s="21" t="n"/>
      <c r="CN11" s="21" t="n"/>
      <c r="CO11" s="21" t="n"/>
      <c r="CP11" s="21" t="n"/>
      <c r="CQ11" s="21" t="n"/>
      <c r="CR11" s="21" t="n"/>
      <c r="CS11" s="21" t="n"/>
      <c r="CT11" s="21" t="n"/>
      <c r="CU11" s="21" t="n"/>
      <c r="CV11" s="21" t="n"/>
      <c r="CW11" s="23" t="n"/>
      <c r="CY11" s="21" t="n"/>
      <c r="CZ11" s="21" t="n"/>
      <c r="DA11" s="21" t="n"/>
      <c r="DB11" s="21" t="n"/>
      <c r="DC11" s="21" t="n"/>
      <c r="DD11" s="21" t="n"/>
      <c r="DE11" s="21" t="n"/>
      <c r="DF11" s="21" t="n"/>
      <c r="DG11" s="21" t="n"/>
      <c r="DH11" s="21" t="n"/>
      <c r="DI11" s="21" t="n"/>
      <c r="DJ11" s="21" t="n"/>
      <c r="DK11" s="23" t="n"/>
      <c r="DM11" s="21" t="n"/>
      <c r="DN11" s="21" t="n"/>
      <c r="DO11" s="21" t="n"/>
      <c r="DP11" s="21" t="n"/>
      <c r="DQ11" s="21" t="n"/>
      <c r="DR11" s="21" t="n"/>
      <c r="DS11" s="21" t="n"/>
      <c r="DT11" s="21" t="n"/>
      <c r="DU11" s="21" t="n"/>
      <c r="DV11" s="21" t="n"/>
      <c r="DW11" s="21" t="n"/>
      <c r="DX11" s="21" t="n"/>
      <c r="DY11" s="23" t="n"/>
      <c r="EA11" s="21" t="n"/>
      <c r="EB11" s="21" t="n"/>
      <c r="EC11" s="21" t="n"/>
      <c r="ED11" s="21" t="n"/>
      <c r="EE11" s="21" t="n"/>
      <c r="EF11" s="21" t="n"/>
      <c r="EG11" s="21" t="n"/>
      <c r="EH11" s="21" t="n"/>
      <c r="EI11" s="21" t="n"/>
      <c r="EJ11" s="21" t="n"/>
      <c r="EK11" s="21" t="n"/>
      <c r="EL11" s="21" t="n"/>
      <c r="EM11" s="23" t="n"/>
    </row>
    <row r="12">
      <c r="C12" s="20" t="inlineStr">
        <is>
          <t>Bonus</t>
        </is>
      </c>
      <c r="E12" s="62" t="n"/>
      <c r="F12" s="62" t="n"/>
      <c r="G12" s="62" t="n"/>
      <c r="H12" s="62" t="n"/>
      <c r="I12" s="62" t="n"/>
      <c r="J12" s="62" t="n"/>
      <c r="K12" s="62" t="n"/>
      <c r="L12" s="62" t="n"/>
      <c r="M12" s="62" t="n"/>
      <c r="N12" s="21" t="n"/>
      <c r="O12" s="21" t="n"/>
      <c r="P12" s="21" t="n"/>
      <c r="Q12" s="63">
        <f> SUM(E12:P12)</f>
        <v/>
      </c>
      <c r="S12" s="21" t="n"/>
      <c r="T12" s="21" t="n"/>
      <c r="U12" s="21" t="n"/>
      <c r="V12" s="21" t="n"/>
      <c r="W12" s="21" t="n"/>
      <c r="X12" s="21" t="n"/>
      <c r="Y12" s="21" t="n"/>
      <c r="Z12" s="21" t="n"/>
      <c r="AA12" s="21" t="n"/>
      <c r="AB12" s="21" t="n"/>
      <c r="AC12" s="21" t="n"/>
      <c r="AD12" s="21" t="n"/>
      <c r="AE12" s="23">
        <f> SUM(S12:AD12)</f>
        <v/>
      </c>
      <c r="AG12" s="21" t="n"/>
      <c r="AH12" s="21" t="n"/>
      <c r="AI12" s="21" t="n"/>
      <c r="AJ12" s="21" t="n"/>
      <c r="AK12" s="21" t="n"/>
      <c r="AL12" s="21" t="n"/>
      <c r="AM12" s="21" t="n"/>
      <c r="AN12" s="21" t="n"/>
      <c r="AO12" s="21" t="n"/>
      <c r="AP12" s="21" t="n"/>
      <c r="AQ12" s="21" t="n"/>
      <c r="AR12" s="21" t="n"/>
      <c r="AS12" s="23" t="n"/>
      <c r="AU12" s="21" t="n"/>
      <c r="AV12" s="21" t="n"/>
      <c r="AW12" s="21" t="n"/>
      <c r="AX12" s="21" t="n"/>
      <c r="AY12" s="21" t="n"/>
      <c r="AZ12" s="21" t="n"/>
      <c r="BA12" s="21" t="n"/>
      <c r="BB12" s="21" t="n"/>
      <c r="BC12" s="21" t="n"/>
      <c r="BD12" s="21" t="n"/>
      <c r="BE12" s="21" t="n"/>
      <c r="BF12" s="21" t="n"/>
      <c r="BG12" s="23" t="n"/>
      <c r="BI12" s="21" t="n"/>
      <c r="BJ12" s="21" t="n"/>
      <c r="BK12" s="21" t="n"/>
      <c r="BL12" s="21" t="n"/>
      <c r="BM12" s="21" t="n"/>
      <c r="BN12" s="21" t="n"/>
      <c r="BO12" s="21" t="n"/>
      <c r="BP12" s="21" t="n"/>
      <c r="BQ12" s="21" t="n"/>
      <c r="BR12" s="21" t="n"/>
      <c r="BS12" s="21" t="n"/>
      <c r="BT12" s="21" t="n"/>
      <c r="BU12" s="23" t="n"/>
      <c r="BW12" s="21" t="n"/>
      <c r="BX12" s="21" t="n"/>
      <c r="BY12" s="21" t="n"/>
      <c r="BZ12" s="21" t="n"/>
      <c r="CA12" s="21" t="n"/>
      <c r="CB12" s="21" t="n"/>
      <c r="CC12" s="21" t="n"/>
      <c r="CD12" s="21" t="n"/>
      <c r="CE12" s="21" t="n"/>
      <c r="CF12" s="21" t="n"/>
      <c r="CG12" s="21" t="n"/>
      <c r="CH12" s="21" t="n"/>
      <c r="CI12" s="23" t="n"/>
      <c r="CK12" s="21" t="n"/>
      <c r="CL12" s="21" t="n"/>
      <c r="CM12" s="21" t="n"/>
      <c r="CN12" s="21" t="n"/>
      <c r="CO12" s="21" t="n"/>
      <c r="CP12" s="21" t="n"/>
      <c r="CQ12" s="21" t="n"/>
      <c r="CR12" s="21" t="n"/>
      <c r="CS12" s="21" t="n"/>
      <c r="CT12" s="21" t="n"/>
      <c r="CU12" s="21" t="n"/>
      <c r="CV12" s="21" t="n"/>
      <c r="CW12" s="23" t="n"/>
      <c r="CY12" s="21" t="n"/>
      <c r="CZ12" s="21" t="n"/>
      <c r="DA12" s="21" t="n"/>
      <c r="DB12" s="21" t="n"/>
      <c r="DC12" s="21" t="n"/>
      <c r="DD12" s="21" t="n"/>
      <c r="DE12" s="21" t="n"/>
      <c r="DF12" s="21" t="n"/>
      <c r="DG12" s="21" t="n"/>
      <c r="DH12" s="21" t="n"/>
      <c r="DI12" s="21" t="n"/>
      <c r="DJ12" s="21" t="n"/>
      <c r="DK12" s="23" t="n"/>
      <c r="DM12" s="21" t="n"/>
      <c r="DN12" s="21" t="n"/>
      <c r="DO12" s="21" t="n"/>
      <c r="DP12" s="21" t="n"/>
      <c r="DQ12" s="21" t="n"/>
      <c r="DR12" s="21" t="n"/>
      <c r="DS12" s="21" t="n"/>
      <c r="DT12" s="21" t="n"/>
      <c r="DU12" s="21" t="n"/>
      <c r="DV12" s="21" t="n"/>
      <c r="DW12" s="21" t="n"/>
      <c r="DX12" s="21" t="n"/>
      <c r="DY12" s="23" t="n"/>
      <c r="EA12" s="21" t="n"/>
      <c r="EB12" s="21" t="n"/>
      <c r="EC12" s="21" t="n"/>
      <c r="ED12" s="21" t="n"/>
      <c r="EE12" s="21" t="n"/>
      <c r="EF12" s="21" t="n"/>
      <c r="EG12" s="21" t="n"/>
      <c r="EH12" s="21" t="n"/>
      <c r="EI12" s="21" t="n"/>
      <c r="EJ12" s="21" t="n"/>
      <c r="EK12" s="21" t="n"/>
      <c r="EL12" s="21" t="n"/>
      <c r="EM12" s="23" t="n"/>
    </row>
    <row r="13">
      <c r="C13" s="20" t="inlineStr">
        <is>
          <t>Refunds</t>
        </is>
      </c>
      <c r="E13" s="62" t="n"/>
      <c r="F13" s="62" t="n"/>
      <c r="G13" s="62" t="n"/>
      <c r="H13" s="62" t="n"/>
      <c r="I13" s="62" t="n"/>
      <c r="J13" s="62" t="n"/>
      <c r="K13" s="62" t="n"/>
      <c r="L13" s="62" t="n"/>
      <c r="M13" s="62" t="n"/>
      <c r="N13" s="21" t="n"/>
      <c r="O13" s="21" t="n"/>
      <c r="P13" s="21" t="n"/>
      <c r="Q13" s="63">
        <f> SUM(E13:P13)</f>
        <v/>
      </c>
      <c r="S13" s="21" t="n"/>
      <c r="T13" s="21" t="n"/>
      <c r="U13" s="21" t="n"/>
      <c r="V13" s="21" t="n"/>
      <c r="W13" s="21" t="n"/>
      <c r="X13" s="21" t="n"/>
      <c r="Y13" s="21" t="n"/>
      <c r="Z13" s="21" t="n"/>
      <c r="AA13" s="21" t="n"/>
      <c r="AB13" s="21" t="n"/>
      <c r="AC13" s="21" t="n"/>
      <c r="AD13" s="21" t="n"/>
      <c r="AE13" s="23">
        <f> SUM(S13:AD13)</f>
        <v/>
      </c>
      <c r="AG13" s="21" t="n"/>
      <c r="AH13" s="21" t="n"/>
      <c r="AI13" s="21" t="n"/>
      <c r="AJ13" s="21" t="n"/>
      <c r="AK13" s="21" t="n"/>
      <c r="AL13" s="21" t="n"/>
      <c r="AM13" s="21" t="n"/>
      <c r="AN13" s="21" t="n"/>
      <c r="AO13" s="21" t="n"/>
      <c r="AP13" s="21" t="n"/>
      <c r="AQ13" s="21" t="n"/>
      <c r="AR13" s="21" t="n"/>
      <c r="AS13" s="23" t="n"/>
      <c r="AU13" s="21" t="n"/>
      <c r="AV13" s="21" t="n"/>
      <c r="AW13" s="21" t="n"/>
      <c r="AX13" s="21" t="n"/>
      <c r="AY13" s="21" t="n"/>
      <c r="AZ13" s="21" t="n"/>
      <c r="BA13" s="21" t="n"/>
      <c r="BB13" s="21" t="n"/>
      <c r="BC13" s="21" t="n"/>
      <c r="BD13" s="21" t="n"/>
      <c r="BE13" s="21" t="n"/>
      <c r="BF13" s="21" t="n"/>
      <c r="BG13" s="23" t="n"/>
      <c r="BI13" s="21" t="n"/>
      <c r="BJ13" s="21" t="n"/>
      <c r="BK13" s="21" t="n"/>
      <c r="BL13" s="21" t="n"/>
      <c r="BM13" s="21" t="n"/>
      <c r="BN13" s="21" t="n"/>
      <c r="BO13" s="21" t="n"/>
      <c r="BP13" s="21" t="n"/>
      <c r="BQ13" s="21" t="n"/>
      <c r="BR13" s="21" t="n"/>
      <c r="BS13" s="21" t="n"/>
      <c r="BT13" s="21" t="n"/>
      <c r="BU13" s="23" t="n"/>
      <c r="BW13" s="21" t="n"/>
      <c r="BX13" s="21" t="n"/>
      <c r="BY13" s="21" t="n"/>
      <c r="BZ13" s="21" t="n"/>
      <c r="CA13" s="21" t="n"/>
      <c r="CB13" s="21" t="n"/>
      <c r="CC13" s="21" t="n"/>
      <c r="CD13" s="21" t="n"/>
      <c r="CE13" s="21" t="n"/>
      <c r="CF13" s="21" t="n"/>
      <c r="CG13" s="21" t="n"/>
      <c r="CH13" s="21" t="n"/>
      <c r="CI13" s="23" t="n"/>
      <c r="CK13" s="21" t="n"/>
      <c r="CL13" s="21" t="n"/>
      <c r="CM13" s="21" t="n"/>
      <c r="CN13" s="21" t="n"/>
      <c r="CO13" s="21" t="n"/>
      <c r="CP13" s="21" t="n"/>
      <c r="CQ13" s="21" t="n"/>
      <c r="CR13" s="21" t="n"/>
      <c r="CS13" s="21" t="n"/>
      <c r="CT13" s="21" t="n"/>
      <c r="CU13" s="21" t="n"/>
      <c r="CV13" s="21" t="n"/>
      <c r="CW13" s="23" t="n"/>
      <c r="CY13" s="21" t="n"/>
      <c r="CZ13" s="21" t="n"/>
      <c r="DA13" s="21" t="n"/>
      <c r="DB13" s="21" t="n"/>
      <c r="DC13" s="21" t="n"/>
      <c r="DD13" s="21" t="n"/>
      <c r="DE13" s="21" t="n"/>
      <c r="DF13" s="21" t="n"/>
      <c r="DG13" s="21" t="n"/>
      <c r="DH13" s="21" t="n"/>
      <c r="DI13" s="21" t="n"/>
      <c r="DJ13" s="21" t="n"/>
      <c r="DK13" s="23" t="n"/>
      <c r="DM13" s="21" t="n"/>
      <c r="DN13" s="21" t="n"/>
      <c r="DO13" s="21" t="n"/>
      <c r="DP13" s="21" t="n"/>
      <c r="DQ13" s="21" t="n"/>
      <c r="DR13" s="21" t="n"/>
      <c r="DS13" s="21" t="n"/>
      <c r="DT13" s="21" t="n"/>
      <c r="DU13" s="21" t="n"/>
      <c r="DV13" s="21" t="n"/>
      <c r="DW13" s="21" t="n"/>
      <c r="DX13" s="21" t="n"/>
      <c r="DY13" s="23" t="n"/>
      <c r="EA13" s="21" t="n"/>
      <c r="EB13" s="21" t="n"/>
      <c r="EC13" s="21" t="n"/>
      <c r="ED13" s="21" t="n"/>
      <c r="EE13" s="21" t="n"/>
      <c r="EF13" s="21" t="n"/>
      <c r="EG13" s="21" t="n"/>
      <c r="EH13" s="21" t="n"/>
      <c r="EI13" s="21" t="n"/>
      <c r="EJ13" s="21" t="n"/>
      <c r="EK13" s="21" t="n"/>
      <c r="EL13" s="21" t="n"/>
      <c r="EM13" s="23" t="n"/>
    </row>
    <row r="14">
      <c r="C14" s="20" t="inlineStr">
        <is>
          <t>Side Hustle (Net)</t>
        </is>
      </c>
      <c r="E14" s="62" t="n"/>
      <c r="F14" s="62" t="n"/>
      <c r="G14" s="62" t="n"/>
      <c r="H14" s="62" t="n"/>
      <c r="I14" s="62" t="n"/>
      <c r="J14" s="62" t="n"/>
      <c r="K14" s="62" t="n"/>
      <c r="L14" s="62" t="n"/>
      <c r="M14" s="62" t="n"/>
      <c r="N14" s="62" t="n"/>
      <c r="O14" s="62" t="n"/>
      <c r="P14" s="21" t="n"/>
      <c r="Q14" s="63">
        <f> SUM(E14:P14)</f>
        <v/>
      </c>
      <c r="S14" s="21" t="n"/>
      <c r="T14" s="21" t="n"/>
      <c r="U14" s="21" t="n"/>
      <c r="V14" s="21" t="n"/>
      <c r="W14" s="21" t="n"/>
      <c r="X14" s="21" t="n"/>
      <c r="Y14" s="21" t="n"/>
      <c r="Z14" s="21" t="n"/>
      <c r="AA14" s="21" t="n"/>
      <c r="AB14" s="21" t="n"/>
      <c r="AC14" s="21" t="n"/>
      <c r="AD14" s="21" t="n"/>
      <c r="AE14" s="23">
        <f> SUM(S14:AD14)</f>
        <v/>
      </c>
      <c r="AG14" s="21" t="n"/>
      <c r="AH14" s="21" t="n"/>
      <c r="AI14" s="21" t="n"/>
      <c r="AJ14" s="21" t="n"/>
      <c r="AK14" s="21" t="n"/>
      <c r="AL14" s="21" t="n"/>
      <c r="AM14" s="21" t="n"/>
      <c r="AN14" s="21" t="n"/>
      <c r="AO14" s="21" t="n"/>
      <c r="AP14" s="21" t="n"/>
      <c r="AQ14" s="21" t="n"/>
      <c r="AR14" s="21" t="n"/>
      <c r="AS14" s="23">
        <f> SUM(AG14:AR14)</f>
        <v/>
      </c>
      <c r="AU14" s="21" t="n"/>
      <c r="AV14" s="21" t="n"/>
      <c r="AW14" s="21" t="n"/>
      <c r="AX14" s="21" t="n"/>
      <c r="AY14" s="21" t="n"/>
      <c r="AZ14" s="21" t="n"/>
      <c r="BA14" s="21" t="n"/>
      <c r="BB14" s="21" t="n"/>
      <c r="BC14" s="21" t="n"/>
      <c r="BD14" s="21" t="n"/>
      <c r="BE14" s="21" t="n"/>
      <c r="BF14" s="21" t="n"/>
      <c r="BG14" s="23">
        <f> SUM(AU14:BF14)</f>
        <v/>
      </c>
      <c r="BI14" s="21" t="n"/>
      <c r="BJ14" s="21" t="n"/>
      <c r="BK14" s="21" t="n"/>
      <c r="BL14" s="21" t="n"/>
      <c r="BM14" s="21" t="n"/>
      <c r="BN14" s="21" t="n"/>
      <c r="BO14" s="21" t="n"/>
      <c r="BP14" s="21" t="n"/>
      <c r="BQ14" s="21" t="n"/>
      <c r="BR14" s="21" t="n"/>
      <c r="BS14" s="21" t="n"/>
      <c r="BT14" s="21" t="n"/>
      <c r="BU14" s="23">
        <f> SUM(BI14:BT14)</f>
        <v/>
      </c>
      <c r="BW14" s="21" t="n"/>
      <c r="BX14" s="21" t="n"/>
      <c r="BY14" s="21" t="n"/>
      <c r="BZ14" s="21" t="n"/>
      <c r="CA14" s="21" t="n"/>
      <c r="CB14" s="21" t="n"/>
      <c r="CC14" s="21" t="n"/>
      <c r="CD14" s="21" t="n"/>
      <c r="CE14" s="21" t="n"/>
      <c r="CF14" s="21" t="n"/>
      <c r="CG14" s="21" t="n"/>
      <c r="CH14" s="21" t="n"/>
      <c r="CI14" s="23">
        <f> SUM(BW14:CH14)</f>
        <v/>
      </c>
      <c r="CK14" s="21" t="n"/>
      <c r="CL14" s="21" t="n"/>
      <c r="CM14" s="21" t="n"/>
      <c r="CN14" s="21" t="n"/>
      <c r="CO14" s="21" t="n"/>
      <c r="CP14" s="21" t="n"/>
      <c r="CQ14" s="21" t="n"/>
      <c r="CR14" s="21" t="n"/>
      <c r="CS14" s="21" t="n"/>
      <c r="CT14" s="21" t="n"/>
      <c r="CU14" s="21" t="n"/>
      <c r="CV14" s="21" t="n"/>
      <c r="CW14" s="23">
        <f> SUM(CK14:CV14)</f>
        <v/>
      </c>
      <c r="CY14" s="21" t="n"/>
      <c r="CZ14" s="21" t="n"/>
      <c r="DA14" s="21" t="n"/>
      <c r="DB14" s="21" t="n"/>
      <c r="DC14" s="21" t="n"/>
      <c r="DD14" s="21" t="n"/>
      <c r="DE14" s="21" t="n"/>
      <c r="DF14" s="21" t="n"/>
      <c r="DG14" s="21" t="n"/>
      <c r="DH14" s="21" t="n"/>
      <c r="DI14" s="21" t="n"/>
      <c r="DJ14" s="21" t="n"/>
      <c r="DK14" s="23">
        <f> SUM(CY14:DJ14)</f>
        <v/>
      </c>
      <c r="DM14" s="21" t="n"/>
      <c r="DN14" s="21" t="n"/>
      <c r="DO14" s="21" t="n"/>
      <c r="DP14" s="21" t="n"/>
      <c r="DQ14" s="21" t="n"/>
      <c r="DR14" s="21" t="n"/>
      <c r="DS14" s="21" t="n"/>
      <c r="DT14" s="21" t="n"/>
      <c r="DU14" s="21" t="n"/>
      <c r="DV14" s="21" t="n"/>
      <c r="DW14" s="21" t="n"/>
      <c r="DX14" s="21" t="n"/>
      <c r="DY14" s="23">
        <f> SUM(DM14:DX14)</f>
        <v/>
      </c>
      <c r="EA14" s="21" t="n"/>
      <c r="EB14" s="21" t="n"/>
      <c r="EC14" s="21" t="n"/>
      <c r="ED14" s="21" t="n"/>
      <c r="EE14" s="21" t="n"/>
      <c r="EF14" s="21" t="n"/>
      <c r="EG14" s="21" t="n"/>
      <c r="EH14" s="21" t="n"/>
      <c r="EI14" s="21" t="n"/>
      <c r="EJ14" s="21" t="n"/>
      <c r="EK14" s="21" t="n"/>
      <c r="EL14" s="21" t="n"/>
      <c r="EM14" s="23">
        <f> SUM(EA14:EL14)</f>
        <v/>
      </c>
    </row>
    <row r="15" hidden="1">
      <c r="C15" s="20" t="inlineStr">
        <is>
          <t>Other Income</t>
        </is>
      </c>
      <c r="E15" s="62" t="n"/>
      <c r="F15" s="62" t="n"/>
      <c r="G15" s="62" t="n"/>
      <c r="H15" s="62" t="n"/>
      <c r="I15" s="62" t="n"/>
      <c r="J15" s="62" t="n"/>
      <c r="K15" s="62" t="n"/>
      <c r="L15" s="62" t="n"/>
      <c r="M15" s="62" t="n"/>
      <c r="N15" s="62" t="n"/>
      <c r="O15" s="62" t="n"/>
      <c r="P15" s="62" t="n"/>
      <c r="Q15" s="63">
        <f> SUM(E15:P15)</f>
        <v/>
      </c>
      <c r="S15" s="21" t="n"/>
      <c r="T15" s="21" t="n"/>
      <c r="U15" s="21" t="n"/>
      <c r="V15" s="21" t="n"/>
      <c r="W15" s="21" t="n"/>
      <c r="X15" s="21" t="n"/>
      <c r="Y15" s="21" t="n"/>
      <c r="Z15" s="21" t="n"/>
      <c r="AA15" s="21" t="n"/>
      <c r="AB15" s="21" t="n"/>
      <c r="AC15" s="21" t="n"/>
      <c r="AD15" s="21" t="n"/>
      <c r="AE15" s="23">
        <f> SUM(S15:AD15)</f>
        <v/>
      </c>
      <c r="AG15" s="21" t="n"/>
      <c r="AH15" s="21" t="n"/>
      <c r="AI15" s="21" t="n"/>
      <c r="AJ15" s="21" t="n"/>
      <c r="AK15" s="21" t="n"/>
      <c r="AL15" s="21" t="n"/>
      <c r="AM15" s="21" t="n"/>
      <c r="AN15" s="21" t="n"/>
      <c r="AO15" s="21" t="n"/>
      <c r="AP15" s="21" t="n"/>
      <c r="AQ15" s="21" t="n"/>
      <c r="AR15" s="21" t="n"/>
      <c r="AS15" s="23">
        <f> SUM(AG15:AR15)</f>
        <v/>
      </c>
      <c r="AU15" s="21" t="n"/>
      <c r="AV15" s="21" t="n"/>
      <c r="AW15" s="21" t="n"/>
      <c r="AX15" s="21" t="n"/>
      <c r="AY15" s="21" t="n"/>
      <c r="AZ15" s="21" t="n"/>
      <c r="BA15" s="21" t="n"/>
      <c r="BB15" s="21" t="n"/>
      <c r="BC15" s="21" t="n"/>
      <c r="BD15" s="21" t="n"/>
      <c r="BE15" s="21" t="n"/>
      <c r="BF15" s="21" t="n"/>
      <c r="BG15" s="23">
        <f> SUM(AU15:BF15)</f>
        <v/>
      </c>
      <c r="BI15" s="21" t="n"/>
      <c r="BJ15" s="21" t="n"/>
      <c r="BK15" s="21" t="n"/>
      <c r="BL15" s="21" t="n"/>
      <c r="BM15" s="21" t="n"/>
      <c r="BN15" s="21" t="n"/>
      <c r="BO15" s="21" t="n"/>
      <c r="BP15" s="21" t="n"/>
      <c r="BQ15" s="21" t="n"/>
      <c r="BR15" s="21" t="n"/>
      <c r="BS15" s="21" t="n"/>
      <c r="BT15" s="21" t="n"/>
      <c r="BU15" s="23">
        <f> SUM(BI15:BT15)</f>
        <v/>
      </c>
      <c r="BW15" s="21" t="n"/>
      <c r="BX15" s="21" t="n"/>
      <c r="BY15" s="21" t="n"/>
      <c r="BZ15" s="21" t="n"/>
      <c r="CA15" s="21" t="n"/>
      <c r="CB15" s="21" t="n"/>
      <c r="CC15" s="21" t="n"/>
      <c r="CD15" s="21" t="n"/>
      <c r="CE15" s="21" t="n"/>
      <c r="CF15" s="21" t="n"/>
      <c r="CG15" s="21" t="n"/>
      <c r="CH15" s="21" t="n"/>
      <c r="CI15" s="23">
        <f> SUM(BW15:CH15)</f>
        <v/>
      </c>
      <c r="CK15" s="21" t="n"/>
      <c r="CL15" s="21" t="n"/>
      <c r="CM15" s="21" t="n"/>
      <c r="CN15" s="21" t="n"/>
      <c r="CO15" s="21" t="n"/>
      <c r="CP15" s="21" t="n"/>
      <c r="CQ15" s="21" t="n"/>
      <c r="CR15" s="21" t="n"/>
      <c r="CS15" s="21" t="n"/>
      <c r="CT15" s="21" t="n"/>
      <c r="CU15" s="21" t="n"/>
      <c r="CV15" s="21" t="n"/>
      <c r="CW15" s="23">
        <f> SUM(CK15:CV15)</f>
        <v/>
      </c>
      <c r="CY15" s="21" t="n"/>
      <c r="CZ15" s="21" t="n"/>
      <c r="DA15" s="21" t="n"/>
      <c r="DB15" s="21" t="n"/>
      <c r="DC15" s="21" t="n"/>
      <c r="DD15" s="21" t="n"/>
      <c r="DE15" s="21" t="n"/>
      <c r="DF15" s="21" t="n"/>
      <c r="DG15" s="21" t="n"/>
      <c r="DH15" s="21" t="n"/>
      <c r="DI15" s="21" t="n"/>
      <c r="DJ15" s="21" t="n"/>
      <c r="DK15" s="23">
        <f> SUM(CY15:DJ15)</f>
        <v/>
      </c>
      <c r="DM15" s="21" t="n"/>
      <c r="DN15" s="21" t="n"/>
      <c r="DO15" s="21" t="n"/>
      <c r="DP15" s="21" t="n"/>
      <c r="DQ15" s="21" t="n"/>
      <c r="DR15" s="21" t="n"/>
      <c r="DS15" s="21" t="n"/>
      <c r="DT15" s="21" t="n"/>
      <c r="DU15" s="21" t="n"/>
      <c r="DV15" s="21" t="n"/>
      <c r="DW15" s="21" t="n"/>
      <c r="DX15" s="21" t="n"/>
      <c r="DY15" s="23">
        <f> SUM(DM15:DX15)</f>
        <v/>
      </c>
      <c r="EA15" s="21" t="n"/>
      <c r="EB15" s="21" t="n"/>
      <c r="EC15" s="21" t="n"/>
      <c r="ED15" s="21" t="n"/>
      <c r="EE15" s="21" t="n"/>
      <c r="EF15" s="21" t="n"/>
      <c r="EG15" s="21" t="n"/>
      <c r="EH15" s="21" t="n"/>
      <c r="EI15" s="21" t="n"/>
      <c r="EJ15" s="21" t="n"/>
      <c r="EK15" s="21" t="n"/>
      <c r="EL15" s="21" t="n"/>
      <c r="EM15" s="23">
        <f> SUM(EA15:EL15)</f>
        <v/>
      </c>
    </row>
    <row r="16" hidden="1">
      <c r="C16" s="20" t="inlineStr">
        <is>
          <t>Enter Income Categoroy</t>
        </is>
      </c>
      <c r="E16" s="62" t="n"/>
      <c r="F16" s="62" t="n"/>
      <c r="G16" s="62" t="n"/>
      <c r="H16" s="62" t="n"/>
      <c r="I16" s="62" t="n"/>
      <c r="J16" s="62" t="n"/>
      <c r="K16" s="62" t="n"/>
      <c r="L16" s="62" t="n"/>
      <c r="M16" s="62" t="n"/>
      <c r="N16" s="62" t="n"/>
      <c r="O16" s="62" t="n"/>
      <c r="P16" s="62" t="n"/>
      <c r="Q16" s="63">
        <f> SUM(E16:P16)</f>
        <v/>
      </c>
      <c r="S16" s="21" t="n"/>
      <c r="T16" s="21" t="n"/>
      <c r="U16" s="21" t="n"/>
      <c r="V16" s="21" t="n"/>
      <c r="W16" s="21" t="n"/>
      <c r="X16" s="21" t="n"/>
      <c r="Y16" s="21" t="n"/>
      <c r="Z16" s="21" t="n"/>
      <c r="AA16" s="21" t="n"/>
      <c r="AB16" s="21" t="n"/>
      <c r="AC16" s="21" t="n"/>
      <c r="AD16" s="21" t="n"/>
      <c r="AE16" s="23">
        <f> SUM(S16:AD16)</f>
        <v/>
      </c>
      <c r="AG16" s="21" t="n"/>
      <c r="AH16" s="21" t="n"/>
      <c r="AI16" s="21" t="n"/>
      <c r="AJ16" s="21" t="n"/>
      <c r="AK16" s="21" t="n"/>
      <c r="AL16" s="21" t="n"/>
      <c r="AM16" s="21" t="n"/>
      <c r="AN16" s="21" t="n"/>
      <c r="AO16" s="21" t="n"/>
      <c r="AP16" s="21" t="n"/>
      <c r="AQ16" s="21" t="n"/>
      <c r="AR16" s="21" t="n"/>
      <c r="AS16" s="23">
        <f> SUM(AG16:AR16)</f>
        <v/>
      </c>
      <c r="AU16" s="21" t="n"/>
      <c r="AV16" s="21" t="n"/>
      <c r="AW16" s="21" t="n"/>
      <c r="AX16" s="21" t="n"/>
      <c r="AY16" s="21" t="n"/>
      <c r="AZ16" s="21" t="n"/>
      <c r="BA16" s="21" t="n"/>
      <c r="BB16" s="21" t="n"/>
      <c r="BC16" s="21" t="n"/>
      <c r="BD16" s="21" t="n"/>
      <c r="BE16" s="21" t="n"/>
      <c r="BF16" s="21" t="n"/>
      <c r="BG16" s="23">
        <f> SUM(AU16:BF16)</f>
        <v/>
      </c>
      <c r="BI16" s="21" t="n"/>
      <c r="BJ16" s="21" t="n"/>
      <c r="BK16" s="21" t="n"/>
      <c r="BL16" s="21" t="n"/>
      <c r="BM16" s="21" t="n"/>
      <c r="BN16" s="21" t="n"/>
      <c r="BO16" s="21" t="n"/>
      <c r="BP16" s="21" t="n"/>
      <c r="BQ16" s="21" t="n"/>
      <c r="BR16" s="21" t="n"/>
      <c r="BS16" s="21" t="n"/>
      <c r="BT16" s="21" t="n"/>
      <c r="BU16" s="23">
        <f> SUM(BI16:BT16)</f>
        <v/>
      </c>
      <c r="BW16" s="21" t="n"/>
      <c r="BX16" s="21" t="n"/>
      <c r="BY16" s="21" t="n"/>
      <c r="BZ16" s="21" t="n"/>
      <c r="CA16" s="21" t="n"/>
      <c r="CB16" s="21" t="n"/>
      <c r="CC16" s="21" t="n"/>
      <c r="CD16" s="21" t="n"/>
      <c r="CE16" s="21" t="n"/>
      <c r="CF16" s="21" t="n"/>
      <c r="CG16" s="21" t="n"/>
      <c r="CH16" s="21" t="n"/>
      <c r="CI16" s="23">
        <f> SUM(BW16:CH16)</f>
        <v/>
      </c>
      <c r="CK16" s="21" t="n"/>
      <c r="CL16" s="21" t="n"/>
      <c r="CM16" s="21" t="n"/>
      <c r="CN16" s="21" t="n"/>
      <c r="CO16" s="21" t="n"/>
      <c r="CP16" s="21" t="n"/>
      <c r="CQ16" s="21" t="n"/>
      <c r="CR16" s="21" t="n"/>
      <c r="CS16" s="21" t="n"/>
      <c r="CT16" s="21" t="n"/>
      <c r="CU16" s="21" t="n"/>
      <c r="CV16" s="21" t="n"/>
      <c r="CW16" s="23">
        <f> SUM(CK16:CV16)</f>
        <v/>
      </c>
      <c r="CY16" s="21" t="n"/>
      <c r="CZ16" s="21" t="n"/>
      <c r="DA16" s="21" t="n"/>
      <c r="DB16" s="21" t="n"/>
      <c r="DC16" s="21" t="n"/>
      <c r="DD16" s="21" t="n"/>
      <c r="DE16" s="21" t="n"/>
      <c r="DF16" s="21" t="n"/>
      <c r="DG16" s="21" t="n"/>
      <c r="DH16" s="21" t="n"/>
      <c r="DI16" s="21" t="n"/>
      <c r="DJ16" s="21" t="n"/>
      <c r="DK16" s="23">
        <f> SUM(CY16:DJ16)</f>
        <v/>
      </c>
      <c r="DM16" s="21" t="n"/>
      <c r="DN16" s="21" t="n"/>
      <c r="DO16" s="21" t="n"/>
      <c r="DP16" s="21" t="n"/>
      <c r="DQ16" s="21" t="n"/>
      <c r="DR16" s="21" t="n"/>
      <c r="DS16" s="21" t="n"/>
      <c r="DT16" s="21" t="n"/>
      <c r="DU16" s="21" t="n"/>
      <c r="DV16" s="21" t="n"/>
      <c r="DW16" s="21" t="n"/>
      <c r="DX16" s="21" t="n"/>
      <c r="DY16" s="23">
        <f> SUM(DM16:DX16)</f>
        <v/>
      </c>
      <c r="EA16" s="21" t="n"/>
      <c r="EB16" s="21" t="n"/>
      <c r="EC16" s="21" t="n"/>
      <c r="ED16" s="21" t="n"/>
      <c r="EE16" s="21" t="n"/>
      <c r="EF16" s="21" t="n"/>
      <c r="EG16" s="21" t="n"/>
      <c r="EH16" s="21" t="n"/>
      <c r="EI16" s="21" t="n"/>
      <c r="EJ16" s="21" t="n"/>
      <c r="EK16" s="21" t="n"/>
      <c r="EL16" s="21" t="n"/>
      <c r="EM16" s="23">
        <f> SUM(EA16:EL16)</f>
        <v/>
      </c>
    </row>
    <row r="17" hidden="1">
      <c r="C17" s="20" t="inlineStr">
        <is>
          <t>Enter Income Categoroy</t>
        </is>
      </c>
      <c r="E17" s="62" t="n"/>
      <c r="F17" s="62" t="n"/>
      <c r="G17" s="62" t="n"/>
      <c r="H17" s="62" t="n"/>
      <c r="I17" s="62" t="n"/>
      <c r="J17" s="62" t="n"/>
      <c r="K17" s="62" t="n"/>
      <c r="L17" s="62" t="n"/>
      <c r="M17" s="62" t="n"/>
      <c r="N17" s="62" t="n"/>
      <c r="O17" s="62" t="n"/>
      <c r="P17" s="62" t="n"/>
      <c r="Q17" s="63">
        <f> SUM(E17:P17)</f>
        <v/>
      </c>
      <c r="S17" s="21" t="n"/>
      <c r="T17" s="21" t="n"/>
      <c r="U17" s="21" t="n"/>
      <c r="V17" s="21" t="n"/>
      <c r="W17" s="21" t="n"/>
      <c r="X17" s="21" t="n"/>
      <c r="Y17" s="21" t="n"/>
      <c r="Z17" s="21" t="n"/>
      <c r="AA17" s="21" t="n"/>
      <c r="AB17" s="21" t="n"/>
      <c r="AC17" s="21" t="n"/>
      <c r="AD17" s="21" t="n"/>
      <c r="AE17" s="23">
        <f> SUM(S17:AD17)</f>
        <v/>
      </c>
      <c r="AG17" s="21" t="n"/>
      <c r="AH17" s="21" t="n"/>
      <c r="AI17" s="21" t="n"/>
      <c r="AJ17" s="21" t="n"/>
      <c r="AK17" s="21" t="n"/>
      <c r="AL17" s="21" t="n"/>
      <c r="AM17" s="21" t="n"/>
      <c r="AN17" s="21" t="n"/>
      <c r="AO17" s="21" t="n"/>
      <c r="AP17" s="21" t="n"/>
      <c r="AQ17" s="21" t="n"/>
      <c r="AR17" s="21" t="n"/>
      <c r="AS17" s="23">
        <f> SUM(AG17:AR17)</f>
        <v/>
      </c>
      <c r="AU17" s="21" t="n"/>
      <c r="AV17" s="21" t="n"/>
      <c r="AW17" s="21" t="n"/>
      <c r="AX17" s="21" t="n"/>
      <c r="AY17" s="21" t="n"/>
      <c r="AZ17" s="21" t="n"/>
      <c r="BA17" s="21" t="n"/>
      <c r="BB17" s="21" t="n"/>
      <c r="BC17" s="21" t="n"/>
      <c r="BD17" s="21" t="n"/>
      <c r="BE17" s="21" t="n"/>
      <c r="BF17" s="21" t="n"/>
      <c r="BG17" s="23">
        <f> SUM(AU17:BF17)</f>
        <v/>
      </c>
      <c r="BI17" s="21" t="n"/>
      <c r="BJ17" s="21" t="n"/>
      <c r="BK17" s="21" t="n"/>
      <c r="BL17" s="21" t="n"/>
      <c r="BM17" s="21" t="n"/>
      <c r="BN17" s="21" t="n"/>
      <c r="BO17" s="21" t="n"/>
      <c r="BP17" s="21" t="n"/>
      <c r="BQ17" s="21" t="n"/>
      <c r="BR17" s="21" t="n"/>
      <c r="BS17" s="21" t="n"/>
      <c r="BT17" s="21" t="n"/>
      <c r="BU17" s="23">
        <f> SUM(BI17:BT17)</f>
        <v/>
      </c>
      <c r="BW17" s="21" t="n"/>
      <c r="BX17" s="21" t="n"/>
      <c r="BY17" s="21" t="n"/>
      <c r="BZ17" s="21" t="n"/>
      <c r="CA17" s="21" t="n"/>
      <c r="CB17" s="21" t="n"/>
      <c r="CC17" s="21" t="n"/>
      <c r="CD17" s="21" t="n"/>
      <c r="CE17" s="21" t="n"/>
      <c r="CF17" s="21" t="n"/>
      <c r="CG17" s="21" t="n"/>
      <c r="CH17" s="21" t="n"/>
      <c r="CI17" s="23">
        <f> SUM(BW17:CH17)</f>
        <v/>
      </c>
      <c r="CK17" s="21" t="n"/>
      <c r="CL17" s="21" t="n"/>
      <c r="CM17" s="21" t="n"/>
      <c r="CN17" s="21" t="n"/>
      <c r="CO17" s="21" t="n"/>
      <c r="CP17" s="21" t="n"/>
      <c r="CQ17" s="21" t="n"/>
      <c r="CR17" s="21" t="n"/>
      <c r="CS17" s="21" t="n"/>
      <c r="CT17" s="21" t="n"/>
      <c r="CU17" s="21" t="n"/>
      <c r="CV17" s="21" t="n"/>
      <c r="CW17" s="23">
        <f> SUM(CK17:CV17)</f>
        <v/>
      </c>
      <c r="CY17" s="21" t="n"/>
      <c r="CZ17" s="21" t="n"/>
      <c r="DA17" s="21" t="n"/>
      <c r="DB17" s="21" t="n"/>
      <c r="DC17" s="21" t="n"/>
      <c r="DD17" s="21" t="n"/>
      <c r="DE17" s="21" t="n"/>
      <c r="DF17" s="21" t="n"/>
      <c r="DG17" s="21" t="n"/>
      <c r="DH17" s="21" t="n"/>
      <c r="DI17" s="21" t="n"/>
      <c r="DJ17" s="21" t="n"/>
      <c r="DK17" s="23">
        <f> SUM(CY17:DJ17)</f>
        <v/>
      </c>
      <c r="DM17" s="21" t="n"/>
      <c r="DN17" s="21" t="n"/>
      <c r="DO17" s="21" t="n"/>
      <c r="DP17" s="21" t="n"/>
      <c r="DQ17" s="21" t="n"/>
      <c r="DR17" s="21" t="n"/>
      <c r="DS17" s="21" t="n"/>
      <c r="DT17" s="21" t="n"/>
      <c r="DU17" s="21" t="n"/>
      <c r="DV17" s="21" t="n"/>
      <c r="DW17" s="21" t="n"/>
      <c r="DX17" s="21" t="n"/>
      <c r="DY17" s="23">
        <f> SUM(DM17:DX17)</f>
        <v/>
      </c>
      <c r="EA17" s="21" t="n"/>
      <c r="EB17" s="21" t="n"/>
      <c r="EC17" s="21" t="n"/>
      <c r="ED17" s="21" t="n"/>
      <c r="EE17" s="21" t="n"/>
      <c r="EF17" s="21" t="n"/>
      <c r="EG17" s="21" t="n"/>
      <c r="EH17" s="21" t="n"/>
      <c r="EI17" s="21" t="n"/>
      <c r="EJ17" s="21" t="n"/>
      <c r="EK17" s="21" t="n"/>
      <c r="EL17" s="21" t="n"/>
      <c r="EM17" s="23">
        <f> SUM(EA17:EL17)</f>
        <v/>
      </c>
    </row>
    <row r="18" hidden="1">
      <c r="C18" s="20" t="inlineStr">
        <is>
          <t>Enter Income Categoroy</t>
        </is>
      </c>
      <c r="E18" s="62" t="n"/>
      <c r="F18" s="62" t="n"/>
      <c r="G18" s="62" t="n"/>
      <c r="H18" s="62" t="n"/>
      <c r="I18" s="62" t="n"/>
      <c r="J18" s="62" t="n"/>
      <c r="K18" s="62" t="n"/>
      <c r="L18" s="62" t="n"/>
      <c r="M18" s="62" t="n"/>
      <c r="N18" s="62" t="n"/>
      <c r="O18" s="62" t="n"/>
      <c r="P18" s="62" t="n"/>
      <c r="Q18" s="63">
        <f> SUM(E18:P18)</f>
        <v/>
      </c>
      <c r="S18" s="21" t="n"/>
      <c r="T18" s="21" t="n"/>
      <c r="U18" s="21" t="n"/>
      <c r="V18" s="21" t="n"/>
      <c r="W18" s="21" t="n"/>
      <c r="X18" s="21" t="n"/>
      <c r="Y18" s="21" t="n"/>
      <c r="Z18" s="21" t="n"/>
      <c r="AA18" s="21" t="n"/>
      <c r="AB18" s="21" t="n"/>
      <c r="AC18" s="21" t="n"/>
      <c r="AD18" s="21" t="n"/>
      <c r="AE18" s="23">
        <f> SUM(S18:AD18)</f>
        <v/>
      </c>
      <c r="AG18" s="21" t="n"/>
      <c r="AH18" s="21" t="n"/>
      <c r="AI18" s="21" t="n"/>
      <c r="AJ18" s="21" t="n"/>
      <c r="AK18" s="21" t="n"/>
      <c r="AL18" s="21" t="n"/>
      <c r="AM18" s="21" t="n"/>
      <c r="AN18" s="21" t="n"/>
      <c r="AO18" s="21" t="n"/>
      <c r="AP18" s="21" t="n"/>
      <c r="AQ18" s="21" t="n"/>
      <c r="AR18" s="21" t="n"/>
      <c r="AS18" s="23">
        <f> SUM(AG18:AR18)</f>
        <v/>
      </c>
      <c r="AU18" s="21" t="n"/>
      <c r="AV18" s="21" t="n"/>
      <c r="AW18" s="21" t="n"/>
      <c r="AX18" s="21" t="n"/>
      <c r="AY18" s="21" t="n"/>
      <c r="AZ18" s="21" t="n"/>
      <c r="BA18" s="21" t="n"/>
      <c r="BB18" s="21" t="n"/>
      <c r="BC18" s="21" t="n"/>
      <c r="BD18" s="21" t="n"/>
      <c r="BE18" s="21" t="n"/>
      <c r="BF18" s="21" t="n"/>
      <c r="BG18" s="23">
        <f> SUM(AU18:BF18)</f>
        <v/>
      </c>
      <c r="BI18" s="21" t="n"/>
      <c r="BJ18" s="21" t="n"/>
      <c r="BK18" s="21" t="n"/>
      <c r="BL18" s="21" t="n"/>
      <c r="BM18" s="21" t="n"/>
      <c r="BN18" s="21" t="n"/>
      <c r="BO18" s="21" t="n"/>
      <c r="BP18" s="21" t="n"/>
      <c r="BQ18" s="21" t="n"/>
      <c r="BR18" s="21" t="n"/>
      <c r="BS18" s="21" t="n"/>
      <c r="BT18" s="21" t="n"/>
      <c r="BU18" s="23">
        <f> SUM(BI18:BT18)</f>
        <v/>
      </c>
      <c r="BW18" s="21" t="n"/>
      <c r="BX18" s="21" t="n"/>
      <c r="BY18" s="21" t="n"/>
      <c r="BZ18" s="21" t="n"/>
      <c r="CA18" s="21" t="n"/>
      <c r="CB18" s="21" t="n"/>
      <c r="CC18" s="21" t="n"/>
      <c r="CD18" s="21" t="n"/>
      <c r="CE18" s="21" t="n"/>
      <c r="CF18" s="21" t="n"/>
      <c r="CG18" s="21" t="n"/>
      <c r="CH18" s="21" t="n"/>
      <c r="CI18" s="23">
        <f> SUM(BW18:CH18)</f>
        <v/>
      </c>
      <c r="CK18" s="21" t="n"/>
      <c r="CL18" s="21" t="n"/>
      <c r="CM18" s="21" t="n"/>
      <c r="CN18" s="21" t="n"/>
      <c r="CO18" s="21" t="n"/>
      <c r="CP18" s="21" t="n"/>
      <c r="CQ18" s="21" t="n"/>
      <c r="CR18" s="21" t="n"/>
      <c r="CS18" s="21" t="n"/>
      <c r="CT18" s="21" t="n"/>
      <c r="CU18" s="21" t="n"/>
      <c r="CV18" s="21" t="n"/>
      <c r="CW18" s="23">
        <f> SUM(CK18:CV18)</f>
        <v/>
      </c>
      <c r="CY18" s="21" t="n"/>
      <c r="CZ18" s="21" t="n"/>
      <c r="DA18" s="21" t="n"/>
      <c r="DB18" s="21" t="n"/>
      <c r="DC18" s="21" t="n"/>
      <c r="DD18" s="21" t="n"/>
      <c r="DE18" s="21" t="n"/>
      <c r="DF18" s="21" t="n"/>
      <c r="DG18" s="21" t="n"/>
      <c r="DH18" s="21" t="n"/>
      <c r="DI18" s="21" t="n"/>
      <c r="DJ18" s="21" t="n"/>
      <c r="DK18" s="23">
        <f> SUM(CY18:DJ18)</f>
        <v/>
      </c>
      <c r="DM18" s="21" t="n"/>
      <c r="DN18" s="21" t="n"/>
      <c r="DO18" s="21" t="n"/>
      <c r="DP18" s="21" t="n"/>
      <c r="DQ18" s="21" t="n"/>
      <c r="DR18" s="21" t="n"/>
      <c r="DS18" s="21" t="n"/>
      <c r="DT18" s="21" t="n"/>
      <c r="DU18" s="21" t="n"/>
      <c r="DV18" s="21" t="n"/>
      <c r="DW18" s="21" t="n"/>
      <c r="DX18" s="21" t="n"/>
      <c r="DY18" s="23">
        <f> SUM(DM18:DX18)</f>
        <v/>
      </c>
      <c r="EA18" s="21" t="n"/>
      <c r="EB18" s="21" t="n"/>
      <c r="EC18" s="21" t="n"/>
      <c r="ED18" s="21" t="n"/>
      <c r="EE18" s="21" t="n"/>
      <c r="EF18" s="21" t="n"/>
      <c r="EG18" s="21" t="n"/>
      <c r="EH18" s="21" t="n"/>
      <c r="EI18" s="21" t="n"/>
      <c r="EJ18" s="21" t="n"/>
      <c r="EK18" s="21" t="n"/>
      <c r="EL18" s="21" t="n"/>
      <c r="EM18" s="23">
        <f> SUM(EA18:EL18)</f>
        <v/>
      </c>
    </row>
    <row r="19" hidden="1">
      <c r="C19" s="20" t="inlineStr">
        <is>
          <t>Enter Income Categoroy</t>
        </is>
      </c>
      <c r="E19" s="62" t="n"/>
      <c r="F19" s="62" t="n"/>
      <c r="G19" s="62" t="n"/>
      <c r="H19" s="62" t="n"/>
      <c r="I19" s="62" t="n"/>
      <c r="J19" s="62" t="n"/>
      <c r="K19" s="62" t="n"/>
      <c r="L19" s="62" t="n"/>
      <c r="M19" s="62" t="n"/>
      <c r="N19" s="62" t="n"/>
      <c r="O19" s="62" t="n"/>
      <c r="P19" s="62" t="n"/>
      <c r="Q19" s="63">
        <f> SUM(E19:P19)</f>
        <v/>
      </c>
      <c r="S19" s="21" t="n"/>
      <c r="T19" s="21" t="n"/>
      <c r="U19" s="21" t="n"/>
      <c r="V19" s="21" t="n"/>
      <c r="W19" s="21" t="n"/>
      <c r="X19" s="21" t="n"/>
      <c r="Y19" s="21" t="n"/>
      <c r="Z19" s="21" t="n"/>
      <c r="AA19" s="21" t="n"/>
      <c r="AB19" s="21" t="n"/>
      <c r="AC19" s="21" t="n"/>
      <c r="AD19" s="21" t="n"/>
      <c r="AE19" s="23">
        <f> SUM(S19:AD19)</f>
        <v/>
      </c>
      <c r="AG19" s="21" t="n"/>
      <c r="AH19" s="21" t="n"/>
      <c r="AI19" s="21" t="n"/>
      <c r="AJ19" s="21" t="n"/>
      <c r="AK19" s="21" t="n"/>
      <c r="AL19" s="21" t="n"/>
      <c r="AM19" s="21" t="n"/>
      <c r="AN19" s="21" t="n"/>
      <c r="AO19" s="21" t="n"/>
      <c r="AP19" s="21" t="n"/>
      <c r="AQ19" s="21" t="n"/>
      <c r="AR19" s="21" t="n"/>
      <c r="AS19" s="23">
        <f> SUM(AG19:AR19)</f>
        <v/>
      </c>
      <c r="AU19" s="21" t="n"/>
      <c r="AV19" s="21" t="n"/>
      <c r="AW19" s="21" t="n"/>
      <c r="AX19" s="21" t="n"/>
      <c r="AY19" s="21" t="n"/>
      <c r="AZ19" s="21" t="n"/>
      <c r="BA19" s="21" t="n"/>
      <c r="BB19" s="21" t="n"/>
      <c r="BC19" s="21" t="n"/>
      <c r="BD19" s="21" t="n"/>
      <c r="BE19" s="21" t="n"/>
      <c r="BF19" s="21" t="n"/>
      <c r="BG19" s="23">
        <f> SUM(AU19:BF19)</f>
        <v/>
      </c>
      <c r="BI19" s="21" t="n"/>
      <c r="BJ19" s="21" t="n"/>
      <c r="BK19" s="21" t="n"/>
      <c r="BL19" s="21" t="n"/>
      <c r="BM19" s="21" t="n"/>
      <c r="BN19" s="21" t="n"/>
      <c r="BO19" s="21" t="n"/>
      <c r="BP19" s="21" t="n"/>
      <c r="BQ19" s="21" t="n"/>
      <c r="BR19" s="21" t="n"/>
      <c r="BS19" s="21" t="n"/>
      <c r="BT19" s="21" t="n"/>
      <c r="BU19" s="23">
        <f> SUM(BI19:BT19)</f>
        <v/>
      </c>
      <c r="BW19" s="21" t="n"/>
      <c r="BX19" s="21" t="n"/>
      <c r="BY19" s="21" t="n"/>
      <c r="BZ19" s="21" t="n"/>
      <c r="CA19" s="21" t="n"/>
      <c r="CB19" s="21" t="n"/>
      <c r="CC19" s="21" t="n"/>
      <c r="CD19" s="21" t="n"/>
      <c r="CE19" s="21" t="n"/>
      <c r="CF19" s="21" t="n"/>
      <c r="CG19" s="21" t="n"/>
      <c r="CH19" s="21" t="n"/>
      <c r="CI19" s="23">
        <f> SUM(BW19:CH19)</f>
        <v/>
      </c>
      <c r="CK19" s="21" t="n"/>
      <c r="CL19" s="21" t="n"/>
      <c r="CM19" s="21" t="n"/>
      <c r="CN19" s="21" t="n"/>
      <c r="CO19" s="21" t="n"/>
      <c r="CP19" s="21" t="n"/>
      <c r="CQ19" s="21" t="n"/>
      <c r="CR19" s="21" t="n"/>
      <c r="CS19" s="21" t="n"/>
      <c r="CT19" s="21" t="n"/>
      <c r="CU19" s="21" t="n"/>
      <c r="CV19" s="21" t="n"/>
      <c r="CW19" s="23">
        <f> SUM(CK19:CV19)</f>
        <v/>
      </c>
      <c r="CY19" s="21" t="n"/>
      <c r="CZ19" s="21" t="n"/>
      <c r="DA19" s="21" t="n"/>
      <c r="DB19" s="21" t="n"/>
      <c r="DC19" s="21" t="n"/>
      <c r="DD19" s="21" t="n"/>
      <c r="DE19" s="21" t="n"/>
      <c r="DF19" s="21" t="n"/>
      <c r="DG19" s="21" t="n"/>
      <c r="DH19" s="21" t="n"/>
      <c r="DI19" s="21" t="n"/>
      <c r="DJ19" s="21" t="n"/>
      <c r="DK19" s="23">
        <f> SUM(CY19:DJ19)</f>
        <v/>
      </c>
      <c r="DM19" s="21" t="n"/>
      <c r="DN19" s="21" t="n"/>
      <c r="DO19" s="21" t="n"/>
      <c r="DP19" s="21" t="n"/>
      <c r="DQ19" s="21" t="n"/>
      <c r="DR19" s="21" t="n"/>
      <c r="DS19" s="21" t="n"/>
      <c r="DT19" s="21" t="n"/>
      <c r="DU19" s="21" t="n"/>
      <c r="DV19" s="21" t="n"/>
      <c r="DW19" s="21" t="n"/>
      <c r="DX19" s="21" t="n"/>
      <c r="DY19" s="23">
        <f> SUM(DM19:DX19)</f>
        <v/>
      </c>
      <c r="EA19" s="21" t="n"/>
      <c r="EB19" s="21" t="n"/>
      <c r="EC19" s="21" t="n"/>
      <c r="ED19" s="21" t="n"/>
      <c r="EE19" s="21" t="n"/>
      <c r="EF19" s="21" t="n"/>
      <c r="EG19" s="21" t="n"/>
      <c r="EH19" s="21" t="n"/>
      <c r="EI19" s="21" t="n"/>
      <c r="EJ19" s="21" t="n"/>
      <c r="EK19" s="21" t="n"/>
      <c r="EL19" s="21" t="n"/>
      <c r="EM19" s="23">
        <f> SUM(EA19:EL19)</f>
        <v/>
      </c>
    </row>
    <row r="20" hidden="1">
      <c r="C20" s="20" t="inlineStr">
        <is>
          <t>Enter Income Categoroy</t>
        </is>
      </c>
      <c r="E20" s="62" t="n"/>
      <c r="F20" s="62" t="n"/>
      <c r="G20" s="62" t="n"/>
      <c r="H20" s="62" t="n"/>
      <c r="I20" s="62" t="n"/>
      <c r="J20" s="62" t="n"/>
      <c r="K20" s="62" t="n"/>
      <c r="L20" s="62" t="n"/>
      <c r="M20" s="62" t="n"/>
      <c r="N20" s="62" t="n"/>
      <c r="O20" s="62" t="n"/>
      <c r="P20" s="62" t="n"/>
      <c r="Q20" s="63">
        <f> SUM(E20:P20)</f>
        <v/>
      </c>
      <c r="S20" s="21" t="n"/>
      <c r="T20" s="21" t="n"/>
      <c r="U20" s="21" t="n"/>
      <c r="V20" s="21" t="n"/>
      <c r="W20" s="21" t="n"/>
      <c r="X20" s="21" t="n"/>
      <c r="Y20" s="21" t="n"/>
      <c r="Z20" s="21" t="n"/>
      <c r="AA20" s="21" t="n"/>
      <c r="AB20" s="21" t="n"/>
      <c r="AC20" s="21" t="n"/>
      <c r="AD20" s="21" t="n"/>
      <c r="AE20" s="23">
        <f> SUM(S20:AD20)</f>
        <v/>
      </c>
      <c r="AG20" s="21" t="n"/>
      <c r="AH20" s="21" t="n"/>
      <c r="AI20" s="21" t="n"/>
      <c r="AJ20" s="21" t="n"/>
      <c r="AK20" s="21" t="n"/>
      <c r="AL20" s="21" t="n"/>
      <c r="AM20" s="21" t="n"/>
      <c r="AN20" s="21" t="n"/>
      <c r="AO20" s="21" t="n"/>
      <c r="AP20" s="21" t="n"/>
      <c r="AQ20" s="21" t="n"/>
      <c r="AR20" s="21" t="n"/>
      <c r="AS20" s="23">
        <f> SUM(AG20:AR20)</f>
        <v/>
      </c>
      <c r="AU20" s="21" t="n"/>
      <c r="AV20" s="21" t="n"/>
      <c r="AW20" s="21" t="n"/>
      <c r="AX20" s="21" t="n"/>
      <c r="AY20" s="21" t="n"/>
      <c r="AZ20" s="21" t="n"/>
      <c r="BA20" s="21" t="n"/>
      <c r="BB20" s="21" t="n"/>
      <c r="BC20" s="21" t="n"/>
      <c r="BD20" s="21" t="n"/>
      <c r="BE20" s="21" t="n"/>
      <c r="BF20" s="21" t="n"/>
      <c r="BG20" s="23">
        <f> SUM(AU20:BF20)</f>
        <v/>
      </c>
      <c r="BI20" s="21" t="n"/>
      <c r="BJ20" s="21" t="n"/>
      <c r="BK20" s="21" t="n"/>
      <c r="BL20" s="21" t="n"/>
      <c r="BM20" s="21" t="n"/>
      <c r="BN20" s="21" t="n"/>
      <c r="BO20" s="21" t="n"/>
      <c r="BP20" s="21" t="n"/>
      <c r="BQ20" s="21" t="n"/>
      <c r="BR20" s="21" t="n"/>
      <c r="BS20" s="21" t="n"/>
      <c r="BT20" s="21" t="n"/>
      <c r="BU20" s="23">
        <f> SUM(BI20:BT20)</f>
        <v/>
      </c>
      <c r="BW20" s="21" t="n"/>
      <c r="BX20" s="21" t="n"/>
      <c r="BY20" s="21" t="n"/>
      <c r="BZ20" s="21" t="n"/>
      <c r="CA20" s="21" t="n"/>
      <c r="CB20" s="21" t="n"/>
      <c r="CC20" s="21" t="n"/>
      <c r="CD20" s="21" t="n"/>
      <c r="CE20" s="21" t="n"/>
      <c r="CF20" s="21" t="n"/>
      <c r="CG20" s="21" t="n"/>
      <c r="CH20" s="21" t="n"/>
      <c r="CI20" s="23">
        <f> SUM(BW20:CH20)</f>
        <v/>
      </c>
      <c r="CK20" s="21" t="n"/>
      <c r="CL20" s="21" t="n"/>
      <c r="CM20" s="21" t="n"/>
      <c r="CN20" s="21" t="n"/>
      <c r="CO20" s="21" t="n"/>
      <c r="CP20" s="21" t="n"/>
      <c r="CQ20" s="21" t="n"/>
      <c r="CR20" s="21" t="n"/>
      <c r="CS20" s="21" t="n"/>
      <c r="CT20" s="21" t="n"/>
      <c r="CU20" s="21" t="n"/>
      <c r="CV20" s="21" t="n"/>
      <c r="CW20" s="23">
        <f> SUM(CK20:CV20)</f>
        <v/>
      </c>
      <c r="CY20" s="21" t="n"/>
      <c r="CZ20" s="21" t="n"/>
      <c r="DA20" s="21" t="n"/>
      <c r="DB20" s="21" t="n"/>
      <c r="DC20" s="21" t="n"/>
      <c r="DD20" s="21" t="n"/>
      <c r="DE20" s="21" t="n"/>
      <c r="DF20" s="21" t="n"/>
      <c r="DG20" s="21" t="n"/>
      <c r="DH20" s="21" t="n"/>
      <c r="DI20" s="21" t="n"/>
      <c r="DJ20" s="21" t="n"/>
      <c r="DK20" s="23">
        <f> SUM(CY20:DJ20)</f>
        <v/>
      </c>
      <c r="DM20" s="21" t="n"/>
      <c r="DN20" s="21" t="n"/>
      <c r="DO20" s="21" t="n"/>
      <c r="DP20" s="21" t="n"/>
      <c r="DQ20" s="21" t="n"/>
      <c r="DR20" s="21" t="n"/>
      <c r="DS20" s="21" t="n"/>
      <c r="DT20" s="21" t="n"/>
      <c r="DU20" s="21" t="n"/>
      <c r="DV20" s="21" t="n"/>
      <c r="DW20" s="21" t="n"/>
      <c r="DX20" s="21" t="n"/>
      <c r="DY20" s="23">
        <f> SUM(DM20:DX20)</f>
        <v/>
      </c>
      <c r="EA20" s="21" t="n"/>
      <c r="EB20" s="21" t="n"/>
      <c r="EC20" s="21" t="n"/>
      <c r="ED20" s="21" t="n"/>
      <c r="EE20" s="21" t="n"/>
      <c r="EF20" s="21" t="n"/>
      <c r="EG20" s="21" t="n"/>
      <c r="EH20" s="21" t="n"/>
      <c r="EI20" s="21" t="n"/>
      <c r="EJ20" s="21" t="n"/>
      <c r="EK20" s="21" t="n"/>
      <c r="EL20" s="21" t="n"/>
      <c r="EM20" s="23">
        <f> SUM(EA20:EL20)</f>
        <v/>
      </c>
    </row>
    <row r="21" hidden="1">
      <c r="C21" s="20" t="inlineStr">
        <is>
          <t>Enter Income Categoroy</t>
        </is>
      </c>
      <c r="E21" s="62" t="n"/>
      <c r="F21" s="62" t="n"/>
      <c r="G21" s="62" t="n"/>
      <c r="H21" s="62" t="n"/>
      <c r="I21" s="62" t="n"/>
      <c r="J21" s="62" t="n"/>
      <c r="K21" s="62" t="n"/>
      <c r="L21" s="62" t="n"/>
      <c r="M21" s="62" t="n"/>
      <c r="N21" s="62" t="n"/>
      <c r="O21" s="62" t="n"/>
      <c r="P21" s="62" t="n"/>
      <c r="Q21" s="63">
        <f> SUM(E21:P21)</f>
        <v/>
      </c>
      <c r="S21" s="21" t="n"/>
      <c r="T21" s="21" t="n"/>
      <c r="U21" s="21" t="n"/>
      <c r="V21" s="21" t="n"/>
      <c r="W21" s="21" t="n"/>
      <c r="X21" s="21" t="n"/>
      <c r="Y21" s="21" t="n"/>
      <c r="Z21" s="21" t="n"/>
      <c r="AA21" s="21" t="n"/>
      <c r="AB21" s="21" t="n"/>
      <c r="AC21" s="21" t="n"/>
      <c r="AD21" s="21" t="n"/>
      <c r="AE21" s="23">
        <f> SUM(S21:AD21)</f>
        <v/>
      </c>
      <c r="AG21" s="21" t="n"/>
      <c r="AH21" s="21" t="n"/>
      <c r="AI21" s="21" t="n"/>
      <c r="AJ21" s="21" t="n"/>
      <c r="AK21" s="21" t="n"/>
      <c r="AL21" s="21" t="n"/>
      <c r="AM21" s="21" t="n"/>
      <c r="AN21" s="21" t="n"/>
      <c r="AO21" s="21" t="n"/>
      <c r="AP21" s="21" t="n"/>
      <c r="AQ21" s="21" t="n"/>
      <c r="AR21" s="21" t="n"/>
      <c r="AS21" s="23">
        <f> SUM(AG21:AR21)</f>
        <v/>
      </c>
      <c r="AU21" s="21" t="n"/>
      <c r="AV21" s="21" t="n"/>
      <c r="AW21" s="21" t="n"/>
      <c r="AX21" s="21" t="n"/>
      <c r="AY21" s="21" t="n"/>
      <c r="AZ21" s="21" t="n"/>
      <c r="BA21" s="21" t="n"/>
      <c r="BB21" s="21" t="n"/>
      <c r="BC21" s="21" t="n"/>
      <c r="BD21" s="21" t="n"/>
      <c r="BE21" s="21" t="n"/>
      <c r="BF21" s="21" t="n"/>
      <c r="BG21" s="23">
        <f> SUM(AU21:BF21)</f>
        <v/>
      </c>
      <c r="BI21" s="21" t="n"/>
      <c r="BJ21" s="21" t="n"/>
      <c r="BK21" s="21" t="n"/>
      <c r="BL21" s="21" t="n"/>
      <c r="BM21" s="21" t="n"/>
      <c r="BN21" s="21" t="n"/>
      <c r="BO21" s="21" t="n"/>
      <c r="BP21" s="21" t="n"/>
      <c r="BQ21" s="21" t="n"/>
      <c r="BR21" s="21" t="n"/>
      <c r="BS21" s="21" t="n"/>
      <c r="BT21" s="21" t="n"/>
      <c r="BU21" s="23">
        <f> SUM(BI21:BT21)</f>
        <v/>
      </c>
      <c r="BW21" s="21" t="n"/>
      <c r="BX21" s="21" t="n"/>
      <c r="BY21" s="21" t="n"/>
      <c r="BZ21" s="21" t="n"/>
      <c r="CA21" s="21" t="n"/>
      <c r="CB21" s="21" t="n"/>
      <c r="CC21" s="21" t="n"/>
      <c r="CD21" s="21" t="n"/>
      <c r="CE21" s="21" t="n"/>
      <c r="CF21" s="21" t="n"/>
      <c r="CG21" s="21" t="n"/>
      <c r="CH21" s="21" t="n"/>
      <c r="CI21" s="23">
        <f> SUM(BW21:CH21)</f>
        <v/>
      </c>
      <c r="CK21" s="21" t="n"/>
      <c r="CL21" s="21" t="n"/>
      <c r="CM21" s="21" t="n"/>
      <c r="CN21" s="21" t="n"/>
      <c r="CO21" s="21" t="n"/>
      <c r="CP21" s="21" t="n"/>
      <c r="CQ21" s="21" t="n"/>
      <c r="CR21" s="21" t="n"/>
      <c r="CS21" s="21" t="n"/>
      <c r="CT21" s="21" t="n"/>
      <c r="CU21" s="21" t="n"/>
      <c r="CV21" s="21" t="n"/>
      <c r="CW21" s="23">
        <f> SUM(CK21:CV21)</f>
        <v/>
      </c>
      <c r="CY21" s="21" t="n"/>
      <c r="CZ21" s="21" t="n"/>
      <c r="DA21" s="21" t="n"/>
      <c r="DB21" s="21" t="n"/>
      <c r="DC21" s="21" t="n"/>
      <c r="DD21" s="21" t="n"/>
      <c r="DE21" s="21" t="n"/>
      <c r="DF21" s="21" t="n"/>
      <c r="DG21" s="21" t="n"/>
      <c r="DH21" s="21" t="n"/>
      <c r="DI21" s="21" t="n"/>
      <c r="DJ21" s="21" t="n"/>
      <c r="DK21" s="23">
        <f> SUM(CY21:DJ21)</f>
        <v/>
      </c>
      <c r="DM21" s="21" t="n"/>
      <c r="DN21" s="21" t="n"/>
      <c r="DO21" s="21" t="n"/>
      <c r="DP21" s="21" t="n"/>
      <c r="DQ21" s="21" t="n"/>
      <c r="DR21" s="21" t="n"/>
      <c r="DS21" s="21" t="n"/>
      <c r="DT21" s="21" t="n"/>
      <c r="DU21" s="21" t="n"/>
      <c r="DV21" s="21" t="n"/>
      <c r="DW21" s="21" t="n"/>
      <c r="DX21" s="21" t="n"/>
      <c r="DY21" s="23">
        <f> SUM(DM21:DX21)</f>
        <v/>
      </c>
      <c r="EA21" s="21" t="n"/>
      <c r="EB21" s="21" t="n"/>
      <c r="EC21" s="21" t="n"/>
      <c r="ED21" s="21" t="n"/>
      <c r="EE21" s="21" t="n"/>
      <c r="EF21" s="21" t="n"/>
      <c r="EG21" s="21" t="n"/>
      <c r="EH21" s="21" t="n"/>
      <c r="EI21" s="21" t="n"/>
      <c r="EJ21" s="21" t="n"/>
      <c r="EK21" s="21" t="n"/>
      <c r="EL21" s="21" t="n"/>
      <c r="EM21" s="23">
        <f> SUM(EA21:EL21)</f>
        <v/>
      </c>
    </row>
    <row r="22">
      <c r="C22" s="17" t="inlineStr">
        <is>
          <t>Total</t>
        </is>
      </c>
      <c r="E22" s="64">
        <f t="array" ref="E22"> SUM(INDIRECT(ADDRESS(income_min_row,COLUMN())&amp;":"&amp;ADDRESS(income_max_row,COLUMN())))</f>
        <v/>
      </c>
      <c r="F22" s="64">
        <f t="array" ref="F22"> SUM(INDIRECT(ADDRESS(income_min_row,COLUMN())&amp;":"&amp;ADDRESS(income_max_row,COLUMN())))</f>
        <v/>
      </c>
      <c r="G22" s="64">
        <f t="array" ref="G22"> SUM(INDIRECT(ADDRESS(income_min_row,COLUMN())&amp;":"&amp;ADDRESS(income_max_row,COLUMN())))</f>
        <v/>
      </c>
      <c r="H22" s="64">
        <f t="array" ref="H22"> SUM(INDIRECT(ADDRESS(income_min_row,COLUMN())&amp;":"&amp;ADDRESS(income_max_row,COLUMN())))</f>
        <v/>
      </c>
      <c r="I22" s="64">
        <f t="array" ref="I22"> SUM(INDIRECT(ADDRESS(income_min_row,COLUMN())&amp;":"&amp;ADDRESS(income_max_row,COLUMN())))</f>
        <v/>
      </c>
      <c r="J22" s="64">
        <f t="array" ref="J22"> SUM(INDIRECT(ADDRESS(income_min_row,COLUMN())&amp;":"&amp;ADDRESS(income_max_row,COLUMN())))</f>
        <v/>
      </c>
      <c r="K22" s="64">
        <f t="array" ref="K22"> SUM(INDIRECT(ADDRESS(income_min_row,COLUMN())&amp;":"&amp;ADDRESS(income_max_row,COLUMN())))</f>
        <v/>
      </c>
      <c r="L22" s="64">
        <f t="array" ref="L22"> SUM(INDIRECT(ADDRESS(income_min_row,COLUMN())&amp;":"&amp;ADDRESS(income_max_row,COLUMN())))</f>
        <v/>
      </c>
      <c r="M22" s="64">
        <f t="array" ref="M22"> SUM(INDIRECT(ADDRESS(income_min_row,COLUMN())&amp;":"&amp;ADDRESS(income_max_row,COLUMN())))</f>
        <v/>
      </c>
      <c r="N22" s="64">
        <f t="array" ref="N22"> SUM(INDIRECT(ADDRESS(income_min_row,COLUMN())&amp;":"&amp;ADDRESS(income_max_row,COLUMN())))</f>
        <v/>
      </c>
      <c r="O22" s="64">
        <f t="array" ref="O22"> SUM(INDIRECT(ADDRESS(income_min_row,COLUMN())&amp;":"&amp;ADDRESS(income_max_row,COLUMN())))</f>
        <v/>
      </c>
      <c r="P22" s="64">
        <f t="array" ref="P22"> SUM(INDIRECT(ADDRESS(income_min_row,COLUMN())&amp;":"&amp;ADDRESS(income_max_row,COLUMN())))</f>
        <v/>
      </c>
      <c r="Q22" s="64">
        <f t="array" ref="Q22"> SUM(INDIRECT(ADDRESS(income_min_row,COLUMN())&amp;":"&amp;ADDRESS(income_max_row,COLUMN())))</f>
        <v/>
      </c>
      <c r="S22" s="22">
        <f t="array" ref="S22"> SUM(INDIRECT(ADDRESS(income_min_row,COLUMN())&amp;":"&amp;ADDRESS(income_max_row,COLUMN())))</f>
        <v/>
      </c>
      <c r="T22" s="22">
        <f t="array" ref="T22"> SUM(INDIRECT(ADDRESS(income_min_row,COLUMN())&amp;":"&amp;ADDRESS(income_max_row,COLUMN())))</f>
        <v/>
      </c>
      <c r="U22" s="22">
        <f t="array" ref="U22"> SUM(INDIRECT(ADDRESS(income_min_row,COLUMN())&amp;":"&amp;ADDRESS(income_max_row,COLUMN())))</f>
        <v/>
      </c>
      <c r="V22" s="22">
        <f t="array" ref="V22"> SUM(INDIRECT(ADDRESS(income_min_row,COLUMN())&amp;":"&amp;ADDRESS(income_max_row,COLUMN())))</f>
        <v/>
      </c>
      <c r="W22" s="22">
        <f t="array" ref="W22"> SUM(INDIRECT(ADDRESS(income_min_row,COLUMN())&amp;":"&amp;ADDRESS(income_max_row,COLUMN())))</f>
        <v/>
      </c>
      <c r="X22" s="22">
        <f t="array" ref="X22"> SUM(INDIRECT(ADDRESS(income_min_row,COLUMN())&amp;":"&amp;ADDRESS(income_max_row,COLUMN())))</f>
        <v/>
      </c>
      <c r="Y22" s="22">
        <f t="array" ref="Y22"> SUM(INDIRECT(ADDRESS(income_min_row,COLUMN())&amp;":"&amp;ADDRESS(income_max_row,COLUMN())))</f>
        <v/>
      </c>
      <c r="Z22" s="22">
        <f t="array" ref="Z22"> SUM(INDIRECT(ADDRESS(income_min_row,COLUMN())&amp;":"&amp;ADDRESS(income_max_row,COLUMN())))</f>
        <v/>
      </c>
      <c r="AA22" s="22">
        <f t="array" ref="AA22"> SUM(INDIRECT(ADDRESS(income_min_row,COLUMN())&amp;":"&amp;ADDRESS(income_max_row,COLUMN())))</f>
        <v/>
      </c>
      <c r="AB22" s="22">
        <f t="array" ref="AB22"> SUM(INDIRECT(ADDRESS(income_min_row,COLUMN())&amp;":"&amp;ADDRESS(income_max_row,COLUMN())))</f>
        <v/>
      </c>
      <c r="AC22" s="22">
        <f t="array" ref="AC22"> SUM(INDIRECT(ADDRESS(income_min_row,COLUMN())&amp;":"&amp;ADDRESS(income_max_row,COLUMN())))</f>
        <v/>
      </c>
      <c r="AD22" s="22">
        <f t="array" ref="AD22"> SUM(INDIRECT(ADDRESS(income_min_row,COLUMN())&amp;":"&amp;ADDRESS(income_max_row,COLUMN())))</f>
        <v/>
      </c>
      <c r="AE22" s="22">
        <f t="array" ref="AE22"> SUM(INDIRECT(ADDRESS(income_min_row,COLUMN())&amp;":"&amp;ADDRESS(income_max_row,COLUMN())))</f>
        <v/>
      </c>
      <c r="AG22" s="22">
        <f t="array" ref="AG22"> SUM(INDIRECT(ADDRESS(income_min_row,COLUMN())&amp;":"&amp;ADDRESS(income_max_row,COLUMN())))</f>
        <v/>
      </c>
      <c r="AH22" s="22">
        <f t="array" ref="AH22"> SUM(INDIRECT(ADDRESS(income_min_row,COLUMN())&amp;":"&amp;ADDRESS(income_max_row,COLUMN())))</f>
        <v/>
      </c>
      <c r="AI22" s="22">
        <f t="array" ref="AI22"> SUM(INDIRECT(ADDRESS(income_min_row,COLUMN())&amp;":"&amp;ADDRESS(income_max_row,COLUMN())))</f>
        <v/>
      </c>
      <c r="AJ22" s="22">
        <f t="array" ref="AJ22"> SUM(INDIRECT(ADDRESS(income_min_row,COLUMN())&amp;":"&amp;ADDRESS(income_max_row,COLUMN())))</f>
        <v/>
      </c>
      <c r="AK22" s="22">
        <f t="array" ref="AK22"> SUM(INDIRECT(ADDRESS(income_min_row,COLUMN())&amp;":"&amp;ADDRESS(income_max_row,COLUMN())))</f>
        <v/>
      </c>
      <c r="AL22" s="22">
        <f t="array" ref="AL22"> SUM(INDIRECT(ADDRESS(income_min_row,COLUMN())&amp;":"&amp;ADDRESS(income_max_row,COLUMN())))</f>
        <v/>
      </c>
      <c r="AM22" s="22">
        <f t="array" ref="AM22"> SUM(INDIRECT(ADDRESS(income_min_row,COLUMN())&amp;":"&amp;ADDRESS(income_max_row,COLUMN())))</f>
        <v/>
      </c>
      <c r="AN22" s="22">
        <f t="array" ref="AN22"> SUM(INDIRECT(ADDRESS(income_min_row,COLUMN())&amp;":"&amp;ADDRESS(income_max_row,COLUMN())))</f>
        <v/>
      </c>
      <c r="AO22" s="22">
        <f t="array" ref="AO22"> SUM(INDIRECT(ADDRESS(income_min_row,COLUMN())&amp;":"&amp;ADDRESS(income_max_row,COLUMN())))</f>
        <v/>
      </c>
      <c r="AP22" s="22">
        <f t="array" ref="AP22"> SUM(INDIRECT(ADDRESS(income_min_row,COLUMN())&amp;":"&amp;ADDRESS(income_max_row,COLUMN())))</f>
        <v/>
      </c>
      <c r="AQ22" s="22">
        <f t="array" ref="AQ22"> SUM(INDIRECT(ADDRESS(income_min_row,COLUMN())&amp;":"&amp;ADDRESS(income_max_row,COLUMN())))</f>
        <v/>
      </c>
      <c r="AR22" s="22">
        <f t="array" ref="AR22"> SUM(INDIRECT(ADDRESS(income_min_row,COLUMN())&amp;":"&amp;ADDRESS(income_max_row,COLUMN())))</f>
        <v/>
      </c>
      <c r="AS22" s="22">
        <f t="array" ref="AS22"> SUM(INDIRECT(ADDRESS(income_min_row,COLUMN())&amp;":"&amp;ADDRESS(income_max_row,COLUMN())))</f>
        <v/>
      </c>
      <c r="AU22" s="22">
        <f t="array" ref="AU22"> SUM(INDIRECT(ADDRESS(income_min_row,COLUMN())&amp;":"&amp;ADDRESS(income_max_row,COLUMN())))</f>
        <v/>
      </c>
      <c r="AV22" s="22">
        <f t="array" ref="AV22"> SUM(INDIRECT(ADDRESS(income_min_row,COLUMN())&amp;":"&amp;ADDRESS(income_max_row,COLUMN())))</f>
        <v/>
      </c>
      <c r="AW22" s="22">
        <f t="array" ref="AW22"> SUM(INDIRECT(ADDRESS(income_min_row,COLUMN())&amp;":"&amp;ADDRESS(income_max_row,COLUMN())))</f>
        <v/>
      </c>
      <c r="AX22" s="22">
        <f t="array" ref="AX22"> SUM(INDIRECT(ADDRESS(income_min_row,COLUMN())&amp;":"&amp;ADDRESS(income_max_row,COLUMN())))</f>
        <v/>
      </c>
      <c r="AY22" s="22">
        <f t="array" ref="AY22"> SUM(INDIRECT(ADDRESS(income_min_row,COLUMN())&amp;":"&amp;ADDRESS(income_max_row,COLUMN())))</f>
        <v/>
      </c>
      <c r="AZ22" s="22">
        <f t="array" ref="AZ22"> SUM(INDIRECT(ADDRESS(income_min_row,COLUMN())&amp;":"&amp;ADDRESS(income_max_row,COLUMN())))</f>
        <v/>
      </c>
      <c r="BA22" s="22">
        <f t="array" ref="BA22"> SUM(INDIRECT(ADDRESS(income_min_row,COLUMN())&amp;":"&amp;ADDRESS(income_max_row,COLUMN())))</f>
        <v/>
      </c>
      <c r="BB22" s="22">
        <f t="array" ref="BB22"> SUM(INDIRECT(ADDRESS(income_min_row,COLUMN())&amp;":"&amp;ADDRESS(income_max_row,COLUMN())))</f>
        <v/>
      </c>
      <c r="BC22" s="22">
        <f t="array" ref="BC22"> SUM(INDIRECT(ADDRESS(income_min_row,COLUMN())&amp;":"&amp;ADDRESS(income_max_row,COLUMN())))</f>
        <v/>
      </c>
      <c r="BD22" s="22">
        <f t="array" ref="BD22"> SUM(INDIRECT(ADDRESS(income_min_row,COLUMN())&amp;":"&amp;ADDRESS(income_max_row,COLUMN())))</f>
        <v/>
      </c>
      <c r="BE22" s="22">
        <f t="array" ref="BE22"> SUM(INDIRECT(ADDRESS(income_min_row,COLUMN())&amp;":"&amp;ADDRESS(income_max_row,COLUMN())))</f>
        <v/>
      </c>
      <c r="BF22" s="22">
        <f t="array" ref="BF22"> SUM(INDIRECT(ADDRESS(income_min_row,COLUMN())&amp;":"&amp;ADDRESS(income_max_row,COLUMN())))</f>
        <v/>
      </c>
      <c r="BG22" s="22">
        <f t="array" ref="BG22"> SUM(INDIRECT(ADDRESS(income_min_row,COLUMN())&amp;":"&amp;ADDRESS(income_max_row,COLUMN())))</f>
        <v/>
      </c>
      <c r="BI22" s="22">
        <f t="array" ref="BI22"> SUM(INDIRECT(ADDRESS(income_min_row,COLUMN())&amp;":"&amp;ADDRESS(income_max_row,COLUMN())))</f>
        <v/>
      </c>
      <c r="BJ22" s="22">
        <f t="array" ref="BJ22"> SUM(INDIRECT(ADDRESS(income_min_row,COLUMN())&amp;":"&amp;ADDRESS(income_max_row,COLUMN())))</f>
        <v/>
      </c>
      <c r="BK22" s="22">
        <f t="array" ref="BK22"> SUM(INDIRECT(ADDRESS(income_min_row,COLUMN())&amp;":"&amp;ADDRESS(income_max_row,COLUMN())))</f>
        <v/>
      </c>
      <c r="BL22" s="22">
        <f t="array" ref="BL22"> SUM(INDIRECT(ADDRESS(income_min_row,COLUMN())&amp;":"&amp;ADDRESS(income_max_row,COLUMN())))</f>
        <v/>
      </c>
      <c r="BM22" s="22">
        <f t="array" ref="BM22"> SUM(INDIRECT(ADDRESS(income_min_row,COLUMN())&amp;":"&amp;ADDRESS(income_max_row,COLUMN())))</f>
        <v/>
      </c>
      <c r="BN22" s="22">
        <f t="array" ref="BN22"> SUM(INDIRECT(ADDRESS(income_min_row,COLUMN())&amp;":"&amp;ADDRESS(income_max_row,COLUMN())))</f>
        <v/>
      </c>
      <c r="BO22" s="22">
        <f t="array" ref="BO22"> SUM(INDIRECT(ADDRESS(income_min_row,COLUMN())&amp;":"&amp;ADDRESS(income_max_row,COLUMN())))</f>
        <v/>
      </c>
      <c r="BP22" s="22">
        <f t="array" ref="BP22"> SUM(INDIRECT(ADDRESS(income_min_row,COLUMN())&amp;":"&amp;ADDRESS(income_max_row,COLUMN())))</f>
        <v/>
      </c>
      <c r="BQ22" s="22">
        <f t="array" ref="BQ22"> SUM(INDIRECT(ADDRESS(income_min_row,COLUMN())&amp;":"&amp;ADDRESS(income_max_row,COLUMN())))</f>
        <v/>
      </c>
      <c r="BR22" s="22">
        <f t="array" ref="BR22"> SUM(INDIRECT(ADDRESS(income_min_row,COLUMN())&amp;":"&amp;ADDRESS(income_max_row,COLUMN())))</f>
        <v/>
      </c>
      <c r="BS22" s="22">
        <f t="array" ref="BS22"> SUM(INDIRECT(ADDRESS(income_min_row,COLUMN())&amp;":"&amp;ADDRESS(income_max_row,COLUMN())))</f>
        <v/>
      </c>
      <c r="BT22" s="22">
        <f t="array" ref="BT22"> SUM(INDIRECT(ADDRESS(income_min_row,COLUMN())&amp;":"&amp;ADDRESS(income_max_row,COLUMN())))</f>
        <v/>
      </c>
      <c r="BU22" s="22">
        <f t="array" ref="BU22"> SUM(INDIRECT(ADDRESS(income_min_row,COLUMN())&amp;":"&amp;ADDRESS(income_max_row,COLUMN())))</f>
        <v/>
      </c>
      <c r="BW22" s="22">
        <f t="array" ref="BW22"> SUM(INDIRECT(ADDRESS(income_min_row,COLUMN())&amp;":"&amp;ADDRESS(income_max_row,COLUMN())))</f>
        <v/>
      </c>
      <c r="BX22" s="22">
        <f t="array" ref="BX22"> SUM(INDIRECT(ADDRESS(income_min_row,COLUMN())&amp;":"&amp;ADDRESS(income_max_row,COLUMN())))</f>
        <v/>
      </c>
      <c r="BY22" s="22">
        <f t="array" ref="BY22"> SUM(INDIRECT(ADDRESS(income_min_row,COLUMN())&amp;":"&amp;ADDRESS(income_max_row,COLUMN())))</f>
        <v/>
      </c>
      <c r="BZ22" s="22">
        <f t="array" ref="BZ22"> SUM(INDIRECT(ADDRESS(income_min_row,COLUMN())&amp;":"&amp;ADDRESS(income_max_row,COLUMN())))</f>
        <v/>
      </c>
      <c r="CA22" s="22">
        <f t="array" ref="CA22"> SUM(INDIRECT(ADDRESS(income_min_row,COLUMN())&amp;":"&amp;ADDRESS(income_max_row,COLUMN())))</f>
        <v/>
      </c>
      <c r="CB22" s="22">
        <f t="array" ref="CB22"> SUM(INDIRECT(ADDRESS(income_min_row,COLUMN())&amp;":"&amp;ADDRESS(income_max_row,COLUMN())))</f>
        <v/>
      </c>
      <c r="CC22" s="22">
        <f t="array" ref="CC22"> SUM(INDIRECT(ADDRESS(income_min_row,COLUMN())&amp;":"&amp;ADDRESS(income_max_row,COLUMN())))</f>
        <v/>
      </c>
      <c r="CD22" s="22">
        <f t="array" ref="CD22"> SUM(INDIRECT(ADDRESS(income_min_row,COLUMN())&amp;":"&amp;ADDRESS(income_max_row,COLUMN())))</f>
        <v/>
      </c>
      <c r="CE22" s="22">
        <f t="array" ref="CE22"> SUM(INDIRECT(ADDRESS(income_min_row,COLUMN())&amp;":"&amp;ADDRESS(income_max_row,COLUMN())))</f>
        <v/>
      </c>
      <c r="CF22" s="22">
        <f t="array" ref="CF22"> SUM(INDIRECT(ADDRESS(income_min_row,COLUMN())&amp;":"&amp;ADDRESS(income_max_row,COLUMN())))</f>
        <v/>
      </c>
      <c r="CG22" s="22">
        <f t="array" ref="CG22"> SUM(INDIRECT(ADDRESS(income_min_row,COLUMN())&amp;":"&amp;ADDRESS(income_max_row,COLUMN())))</f>
        <v/>
      </c>
      <c r="CH22" s="22">
        <f t="array" ref="CH22"> SUM(INDIRECT(ADDRESS(income_min_row,COLUMN())&amp;":"&amp;ADDRESS(income_max_row,COLUMN())))</f>
        <v/>
      </c>
      <c r="CI22" s="22">
        <f t="array" ref="CI22"> SUM(INDIRECT(ADDRESS(income_min_row,COLUMN())&amp;":"&amp;ADDRESS(income_max_row,COLUMN())))</f>
        <v/>
      </c>
      <c r="CK22" s="22">
        <f t="array" ref="CK22"> SUM(INDIRECT(ADDRESS(income_min_row,COLUMN())&amp;":"&amp;ADDRESS(income_max_row,COLUMN())))</f>
        <v/>
      </c>
      <c r="CL22" s="22">
        <f t="array" ref="CL22"> SUM(INDIRECT(ADDRESS(income_min_row,COLUMN())&amp;":"&amp;ADDRESS(income_max_row,COLUMN())))</f>
        <v/>
      </c>
      <c r="CM22" s="22">
        <f t="array" ref="CM22"> SUM(INDIRECT(ADDRESS(income_min_row,COLUMN())&amp;":"&amp;ADDRESS(income_max_row,COLUMN())))</f>
        <v/>
      </c>
      <c r="CN22" s="22">
        <f t="array" ref="CN22"> SUM(INDIRECT(ADDRESS(income_min_row,COLUMN())&amp;":"&amp;ADDRESS(income_max_row,COLUMN())))</f>
        <v/>
      </c>
      <c r="CO22" s="22">
        <f t="array" ref="CO22"> SUM(INDIRECT(ADDRESS(income_min_row,COLUMN())&amp;":"&amp;ADDRESS(income_max_row,COLUMN())))</f>
        <v/>
      </c>
      <c r="CP22" s="22">
        <f t="array" ref="CP22"> SUM(INDIRECT(ADDRESS(income_min_row,COLUMN())&amp;":"&amp;ADDRESS(income_max_row,COLUMN())))</f>
        <v/>
      </c>
      <c r="CQ22" s="22">
        <f t="array" ref="CQ22"> SUM(INDIRECT(ADDRESS(income_min_row,COLUMN())&amp;":"&amp;ADDRESS(income_max_row,COLUMN())))</f>
        <v/>
      </c>
      <c r="CR22" s="22">
        <f t="array" ref="CR22"> SUM(INDIRECT(ADDRESS(income_min_row,COLUMN())&amp;":"&amp;ADDRESS(income_max_row,COLUMN())))</f>
        <v/>
      </c>
      <c r="CS22" s="22">
        <f t="array" ref="CS22"> SUM(INDIRECT(ADDRESS(income_min_row,COLUMN())&amp;":"&amp;ADDRESS(income_max_row,COLUMN())))</f>
        <v/>
      </c>
      <c r="CT22" s="22">
        <f t="array" ref="CT22"> SUM(INDIRECT(ADDRESS(income_min_row,COLUMN())&amp;":"&amp;ADDRESS(income_max_row,COLUMN())))</f>
        <v/>
      </c>
      <c r="CU22" s="22">
        <f t="array" ref="CU22"> SUM(INDIRECT(ADDRESS(income_min_row,COLUMN())&amp;":"&amp;ADDRESS(income_max_row,COLUMN())))</f>
        <v/>
      </c>
      <c r="CV22" s="22">
        <f t="array" ref="CV22"> SUM(INDIRECT(ADDRESS(income_min_row,COLUMN())&amp;":"&amp;ADDRESS(income_max_row,COLUMN())))</f>
        <v/>
      </c>
      <c r="CW22" s="22">
        <f t="array" ref="CW22"> SUM(INDIRECT(ADDRESS(income_min_row,COLUMN())&amp;":"&amp;ADDRESS(income_max_row,COLUMN())))</f>
        <v/>
      </c>
      <c r="CY22" s="22">
        <f t="array" ref="CY22"> SUM(INDIRECT(ADDRESS(income_min_row,COLUMN())&amp;":"&amp;ADDRESS(income_max_row,COLUMN())))</f>
        <v/>
      </c>
      <c r="CZ22" s="22">
        <f t="array" ref="CZ22"> SUM(INDIRECT(ADDRESS(income_min_row,COLUMN())&amp;":"&amp;ADDRESS(income_max_row,COLUMN())))</f>
        <v/>
      </c>
      <c r="DA22" s="22">
        <f t="array" ref="DA22"> SUM(INDIRECT(ADDRESS(income_min_row,COLUMN())&amp;":"&amp;ADDRESS(income_max_row,COLUMN())))</f>
        <v/>
      </c>
      <c r="DB22" s="22">
        <f t="array" ref="DB22"> SUM(INDIRECT(ADDRESS(income_min_row,COLUMN())&amp;":"&amp;ADDRESS(income_max_row,COLUMN())))</f>
        <v/>
      </c>
      <c r="DC22" s="22">
        <f t="array" ref="DC22"> SUM(INDIRECT(ADDRESS(income_min_row,COLUMN())&amp;":"&amp;ADDRESS(income_max_row,COLUMN())))</f>
        <v/>
      </c>
      <c r="DD22" s="22">
        <f t="array" ref="DD22"> SUM(INDIRECT(ADDRESS(income_min_row,COLUMN())&amp;":"&amp;ADDRESS(income_max_row,COLUMN())))</f>
        <v/>
      </c>
      <c r="DE22" s="22">
        <f t="array" ref="DE22"> SUM(INDIRECT(ADDRESS(income_min_row,COLUMN())&amp;":"&amp;ADDRESS(income_max_row,COLUMN())))</f>
        <v/>
      </c>
      <c r="DF22" s="22">
        <f t="array" ref="DF22"> SUM(INDIRECT(ADDRESS(income_min_row,COLUMN())&amp;":"&amp;ADDRESS(income_max_row,COLUMN())))</f>
        <v/>
      </c>
      <c r="DG22" s="22">
        <f t="array" ref="DG22"> SUM(INDIRECT(ADDRESS(income_min_row,COLUMN())&amp;":"&amp;ADDRESS(income_max_row,COLUMN())))</f>
        <v/>
      </c>
      <c r="DH22" s="22">
        <f t="array" ref="DH22"> SUM(INDIRECT(ADDRESS(income_min_row,COLUMN())&amp;":"&amp;ADDRESS(income_max_row,COLUMN())))</f>
        <v/>
      </c>
      <c r="DI22" s="22">
        <f t="array" ref="DI22"> SUM(INDIRECT(ADDRESS(income_min_row,COLUMN())&amp;":"&amp;ADDRESS(income_max_row,COLUMN())))</f>
        <v/>
      </c>
      <c r="DJ22" s="22">
        <f t="array" ref="DJ22"> SUM(INDIRECT(ADDRESS(income_min_row,COLUMN())&amp;":"&amp;ADDRESS(income_max_row,COLUMN())))</f>
        <v/>
      </c>
      <c r="DK22" s="22">
        <f t="array" ref="DK22"> SUM(INDIRECT(ADDRESS(income_min_row,COLUMN())&amp;":"&amp;ADDRESS(income_max_row,COLUMN())))</f>
        <v/>
      </c>
      <c r="DM22" s="22">
        <f t="array" ref="DM22"> SUM(INDIRECT(ADDRESS(income_min_row,COLUMN())&amp;":"&amp;ADDRESS(income_max_row,COLUMN())))</f>
        <v/>
      </c>
      <c r="DN22" s="22">
        <f t="array" ref="DN22"> SUM(INDIRECT(ADDRESS(income_min_row,COLUMN())&amp;":"&amp;ADDRESS(income_max_row,COLUMN())))</f>
        <v/>
      </c>
      <c r="DO22" s="22">
        <f t="array" ref="DO22"> SUM(INDIRECT(ADDRESS(income_min_row,COLUMN())&amp;":"&amp;ADDRESS(income_max_row,COLUMN())))</f>
        <v/>
      </c>
      <c r="DP22" s="22">
        <f t="array" ref="DP22"> SUM(INDIRECT(ADDRESS(income_min_row,COLUMN())&amp;":"&amp;ADDRESS(income_max_row,COLUMN())))</f>
        <v/>
      </c>
      <c r="DQ22" s="22">
        <f t="array" ref="DQ22"> SUM(INDIRECT(ADDRESS(income_min_row,COLUMN())&amp;":"&amp;ADDRESS(income_max_row,COLUMN())))</f>
        <v/>
      </c>
      <c r="DR22" s="22">
        <f t="array" ref="DR22"> SUM(INDIRECT(ADDRESS(income_min_row,COLUMN())&amp;":"&amp;ADDRESS(income_max_row,COLUMN())))</f>
        <v/>
      </c>
      <c r="DS22" s="22">
        <f t="array" ref="DS22"> SUM(INDIRECT(ADDRESS(income_min_row,COLUMN())&amp;":"&amp;ADDRESS(income_max_row,COLUMN())))</f>
        <v/>
      </c>
      <c r="DT22" s="22">
        <f t="array" ref="DT22"> SUM(INDIRECT(ADDRESS(income_min_row,COLUMN())&amp;":"&amp;ADDRESS(income_max_row,COLUMN())))</f>
        <v/>
      </c>
      <c r="DU22" s="22">
        <f t="array" ref="DU22"> SUM(INDIRECT(ADDRESS(income_min_row,COLUMN())&amp;":"&amp;ADDRESS(income_max_row,COLUMN())))</f>
        <v/>
      </c>
      <c r="DV22" s="22">
        <f t="array" ref="DV22"> SUM(INDIRECT(ADDRESS(income_min_row,COLUMN())&amp;":"&amp;ADDRESS(income_max_row,COLUMN())))</f>
        <v/>
      </c>
      <c r="DW22" s="22">
        <f t="array" ref="DW22"> SUM(INDIRECT(ADDRESS(income_min_row,COLUMN())&amp;":"&amp;ADDRESS(income_max_row,COLUMN())))</f>
        <v/>
      </c>
      <c r="DX22" s="22">
        <f t="array" ref="DX22"> SUM(INDIRECT(ADDRESS(income_min_row,COLUMN())&amp;":"&amp;ADDRESS(income_max_row,COLUMN())))</f>
        <v/>
      </c>
      <c r="DY22" s="22">
        <f t="array" ref="DY22"> SUM(INDIRECT(ADDRESS(income_min_row,COLUMN())&amp;":"&amp;ADDRESS(income_max_row,COLUMN())))</f>
        <v/>
      </c>
      <c r="EA22" s="22">
        <f t="array" ref="EA22"> SUM(INDIRECT(ADDRESS(income_min_row,COLUMN())&amp;":"&amp;ADDRESS(income_max_row,COLUMN())))</f>
        <v/>
      </c>
      <c r="EB22" s="22">
        <f t="array" ref="EB22"> SUM(INDIRECT(ADDRESS(income_min_row,COLUMN())&amp;":"&amp;ADDRESS(income_max_row,COLUMN())))</f>
        <v/>
      </c>
      <c r="EC22" s="22">
        <f t="array" ref="EC22"> SUM(INDIRECT(ADDRESS(income_min_row,COLUMN())&amp;":"&amp;ADDRESS(income_max_row,COLUMN())))</f>
        <v/>
      </c>
      <c r="ED22" s="22">
        <f t="array" ref="ED22"> SUM(INDIRECT(ADDRESS(income_min_row,COLUMN())&amp;":"&amp;ADDRESS(income_max_row,COLUMN())))</f>
        <v/>
      </c>
      <c r="EE22" s="22">
        <f t="array" ref="EE22"> SUM(INDIRECT(ADDRESS(income_min_row,COLUMN())&amp;":"&amp;ADDRESS(income_max_row,COLUMN())))</f>
        <v/>
      </c>
      <c r="EF22" s="22">
        <f t="array" ref="EF22"> SUM(INDIRECT(ADDRESS(income_min_row,COLUMN())&amp;":"&amp;ADDRESS(income_max_row,COLUMN())))</f>
        <v/>
      </c>
      <c r="EG22" s="22">
        <f t="array" ref="EG22"> SUM(INDIRECT(ADDRESS(income_min_row,COLUMN())&amp;":"&amp;ADDRESS(income_max_row,COLUMN())))</f>
        <v/>
      </c>
      <c r="EH22" s="22">
        <f t="array" ref="EH22"> SUM(INDIRECT(ADDRESS(income_min_row,COLUMN())&amp;":"&amp;ADDRESS(income_max_row,COLUMN())))</f>
        <v/>
      </c>
      <c r="EI22" s="22">
        <f t="array" ref="EI22"> SUM(INDIRECT(ADDRESS(income_min_row,COLUMN())&amp;":"&amp;ADDRESS(income_max_row,COLUMN())))</f>
        <v/>
      </c>
      <c r="EJ22" s="22">
        <f t="array" ref="EJ22"> SUM(INDIRECT(ADDRESS(income_min_row,COLUMN())&amp;":"&amp;ADDRESS(income_max_row,COLUMN())))</f>
        <v/>
      </c>
      <c r="EK22" s="22">
        <f t="array" ref="EK22"> SUM(INDIRECT(ADDRESS(income_min_row,COLUMN())&amp;":"&amp;ADDRESS(income_max_row,COLUMN())))</f>
        <v/>
      </c>
      <c r="EL22" s="22">
        <f t="array" ref="EL22"> SUM(INDIRECT(ADDRESS(income_min_row,COLUMN())&amp;":"&amp;ADDRESS(income_max_row,COLUMN())))</f>
        <v/>
      </c>
      <c r="EM22" s="22">
        <f t="array" ref="EM22"> SUM(INDIRECT(ADDRESS(income_min_row,COLUMN())&amp;":"&amp;ADDRESS(income_max_row,COLUMN())))</f>
        <v/>
      </c>
    </row>
    <row r="24">
      <c r="C24" s="24" t="inlineStr">
        <is>
          <t>Expenses</t>
        </is>
      </c>
      <c r="E24" s="25">
        <f> DATE(E$5,1,1)</f>
        <v/>
      </c>
      <c r="F24" s="25">
        <f> DATE(E$5,2,1)</f>
        <v/>
      </c>
      <c r="G24" s="25">
        <f> DATE(E$5,3,1)</f>
        <v/>
      </c>
      <c r="H24" s="25">
        <f> DATE(E$5,4,1)</f>
        <v/>
      </c>
      <c r="I24" s="25">
        <f> DATE(E$5,5,1)</f>
        <v/>
      </c>
      <c r="J24" s="25">
        <f> DATE(E$5,6,1)</f>
        <v/>
      </c>
      <c r="K24" s="25">
        <f> DATE(E$5,7,1)</f>
        <v/>
      </c>
      <c r="L24" s="25">
        <f> DATE(E$5,8,1)</f>
        <v/>
      </c>
      <c r="M24" s="25">
        <f> DATE(E$5,9,1)</f>
        <v/>
      </c>
      <c r="N24" s="25">
        <f> DATE(E$5,10,1)</f>
        <v/>
      </c>
      <c r="O24" s="25">
        <f> DATE(E$5,11,1)</f>
        <v/>
      </c>
      <c r="P24" s="25">
        <f> DATE(E$5,12,1)</f>
        <v/>
      </c>
      <c r="Q24" s="26">
        <f>E$5</f>
        <v/>
      </c>
      <c r="S24" s="25">
        <f> DATE(S$5,1,1)</f>
        <v/>
      </c>
      <c r="T24" s="25">
        <f> DATE(S$5,2,1)</f>
        <v/>
      </c>
      <c r="U24" s="25">
        <f> DATE(S$5,3,1)</f>
        <v/>
      </c>
      <c r="V24" s="25">
        <f> DATE(S$5,4,1)</f>
        <v/>
      </c>
      <c r="W24" s="25">
        <f> DATE(S$5,5,1)</f>
        <v/>
      </c>
      <c r="X24" s="25">
        <f> DATE(S$5,6,1)</f>
        <v/>
      </c>
      <c r="Y24" s="25">
        <f> DATE(S$5,7,1)</f>
        <v/>
      </c>
      <c r="Z24" s="25">
        <f> DATE(S$5,8,1)</f>
        <v/>
      </c>
      <c r="AA24" s="25">
        <f> DATE(S$5,9,1)</f>
        <v/>
      </c>
      <c r="AB24" s="25">
        <f> DATE(S$5,10,1)</f>
        <v/>
      </c>
      <c r="AC24" s="25">
        <f> DATE(S$5,11,1)</f>
        <v/>
      </c>
      <c r="AD24" s="25">
        <f> DATE(S$5,12,1)</f>
        <v/>
      </c>
      <c r="AE24" s="26">
        <f>S$5</f>
        <v/>
      </c>
      <c r="AG24" s="25">
        <f> DATE(AG$5,1,1)</f>
        <v/>
      </c>
      <c r="AH24" s="25">
        <f> DATE(AG$5,2,1)</f>
        <v/>
      </c>
      <c r="AI24" s="25">
        <f> DATE(AG$5,3,1)</f>
        <v/>
      </c>
      <c r="AJ24" s="25">
        <f> DATE(AG$5,4,1)</f>
        <v/>
      </c>
      <c r="AK24" s="25">
        <f> DATE(AG$5,5,1)</f>
        <v/>
      </c>
      <c r="AL24" s="25">
        <f> DATE(AG$5,6,1)</f>
        <v/>
      </c>
      <c r="AM24" s="25">
        <f> DATE(AG$5,7,1)</f>
        <v/>
      </c>
      <c r="AN24" s="25">
        <f> DATE(AG$5,8,1)</f>
        <v/>
      </c>
      <c r="AO24" s="25">
        <f> DATE(AG$5,9,1)</f>
        <v/>
      </c>
      <c r="AP24" s="25">
        <f> DATE(AG$5,10,1)</f>
        <v/>
      </c>
      <c r="AQ24" s="25">
        <f> DATE(AG$5,11,1)</f>
        <v/>
      </c>
      <c r="AR24" s="25">
        <f> DATE(AG$5,12,1)</f>
        <v/>
      </c>
      <c r="AS24" s="26">
        <f>AG$5</f>
        <v/>
      </c>
      <c r="AU24" s="25">
        <f> DATE(AU$5,1,1)</f>
        <v/>
      </c>
      <c r="AV24" s="25">
        <f> DATE(AU$5,2,1)</f>
        <v/>
      </c>
      <c r="AW24" s="25">
        <f> DATE(AU$5,3,1)</f>
        <v/>
      </c>
      <c r="AX24" s="25">
        <f> DATE(AU$5,4,1)</f>
        <v/>
      </c>
      <c r="AY24" s="25">
        <f> DATE(AU$5,5,1)</f>
        <v/>
      </c>
      <c r="AZ24" s="25">
        <f> DATE(AU$5,6,1)</f>
        <v/>
      </c>
      <c r="BA24" s="25">
        <f> DATE(AU$5,7,1)</f>
        <v/>
      </c>
      <c r="BB24" s="25">
        <f> DATE(AU$5,8,1)</f>
        <v/>
      </c>
      <c r="BC24" s="25">
        <f> DATE(AU$5,9,1)</f>
        <v/>
      </c>
      <c r="BD24" s="25">
        <f> DATE(AU$5,10,1)</f>
        <v/>
      </c>
      <c r="BE24" s="25">
        <f> DATE(AU$5,11,1)</f>
        <v/>
      </c>
      <c r="BF24" s="25">
        <f> DATE(AU$5,12,1)</f>
        <v/>
      </c>
      <c r="BG24" s="26">
        <f>AU$5</f>
        <v/>
      </c>
      <c r="BI24" s="25">
        <f> DATE(BI$5,1,1)</f>
        <v/>
      </c>
      <c r="BJ24" s="25">
        <f> DATE(BI$5,2,1)</f>
        <v/>
      </c>
      <c r="BK24" s="25">
        <f> DATE(BI$5,3,1)</f>
        <v/>
      </c>
      <c r="BL24" s="25">
        <f> DATE(BI$5,4,1)</f>
        <v/>
      </c>
      <c r="BM24" s="25">
        <f> DATE(BI$5,5,1)</f>
        <v/>
      </c>
      <c r="BN24" s="25">
        <f> DATE(BI$5,6,1)</f>
        <v/>
      </c>
      <c r="BO24" s="25">
        <f> DATE(BI$5,7,1)</f>
        <v/>
      </c>
      <c r="BP24" s="25">
        <f> DATE(BI$5,8,1)</f>
        <v/>
      </c>
      <c r="BQ24" s="25">
        <f> DATE(BI$5,9,1)</f>
        <v/>
      </c>
      <c r="BR24" s="25">
        <f> DATE(BI$5,10,1)</f>
        <v/>
      </c>
      <c r="BS24" s="25">
        <f> DATE(BI$5,11,1)</f>
        <v/>
      </c>
      <c r="BT24" s="25">
        <f> DATE(BI$5,12,1)</f>
        <v/>
      </c>
      <c r="BU24" s="26">
        <f>BI$5</f>
        <v/>
      </c>
      <c r="BW24" s="25">
        <f> DATE(BW$5,1,1)</f>
        <v/>
      </c>
      <c r="BX24" s="25">
        <f> DATE(BW$5,2,1)</f>
        <v/>
      </c>
      <c r="BY24" s="25">
        <f> DATE(BW$5,3,1)</f>
        <v/>
      </c>
      <c r="BZ24" s="25">
        <f> DATE(BW$5,4,1)</f>
        <v/>
      </c>
      <c r="CA24" s="25">
        <f> DATE(BW$5,5,1)</f>
        <v/>
      </c>
      <c r="CB24" s="25">
        <f> DATE(BW$5,6,1)</f>
        <v/>
      </c>
      <c r="CC24" s="25">
        <f> DATE(BW$5,7,1)</f>
        <v/>
      </c>
      <c r="CD24" s="25">
        <f> DATE(BW$5,8,1)</f>
        <v/>
      </c>
      <c r="CE24" s="25">
        <f> DATE(BW$5,9,1)</f>
        <v/>
      </c>
      <c r="CF24" s="25">
        <f> DATE(BW$5,10,1)</f>
        <v/>
      </c>
      <c r="CG24" s="25">
        <f> DATE(BW$5,11,1)</f>
        <v/>
      </c>
      <c r="CH24" s="25">
        <f> DATE(BW$5,12,1)</f>
        <v/>
      </c>
      <c r="CI24" s="26">
        <f>BW$5</f>
        <v/>
      </c>
      <c r="CK24" s="25">
        <f> DATE(CK$5,1,1)</f>
        <v/>
      </c>
      <c r="CL24" s="25">
        <f> DATE(CK$5,2,1)</f>
        <v/>
      </c>
      <c r="CM24" s="25">
        <f> DATE(CK$5,3,1)</f>
        <v/>
      </c>
      <c r="CN24" s="25">
        <f> DATE(CK$5,4,1)</f>
        <v/>
      </c>
      <c r="CO24" s="25">
        <f> DATE(CK$5,5,1)</f>
        <v/>
      </c>
      <c r="CP24" s="25">
        <f> DATE(CK$5,6,1)</f>
        <v/>
      </c>
      <c r="CQ24" s="25">
        <f> DATE(CK$5,7,1)</f>
        <v/>
      </c>
      <c r="CR24" s="25">
        <f> DATE(CK$5,8,1)</f>
        <v/>
      </c>
      <c r="CS24" s="25">
        <f> DATE(CK$5,9,1)</f>
        <v/>
      </c>
      <c r="CT24" s="25">
        <f> DATE(CK$5,10,1)</f>
        <v/>
      </c>
      <c r="CU24" s="25">
        <f> DATE(CK$5,11,1)</f>
        <v/>
      </c>
      <c r="CV24" s="25">
        <f> DATE(CK$5,12,1)</f>
        <v/>
      </c>
      <c r="CW24" s="26">
        <f>CK$5</f>
        <v/>
      </c>
      <c r="CY24" s="25">
        <f> DATE(CY$5,1,1)</f>
        <v/>
      </c>
      <c r="CZ24" s="25">
        <f> DATE(CY$5,2,1)</f>
        <v/>
      </c>
      <c r="DA24" s="25">
        <f> DATE(CY$5,3,1)</f>
        <v/>
      </c>
      <c r="DB24" s="25">
        <f> DATE(CY$5,4,1)</f>
        <v/>
      </c>
      <c r="DC24" s="25">
        <f> DATE(CY$5,5,1)</f>
        <v/>
      </c>
      <c r="DD24" s="25">
        <f> DATE(CY$5,6,1)</f>
        <v/>
      </c>
      <c r="DE24" s="25">
        <f> DATE(CY$5,7,1)</f>
        <v/>
      </c>
      <c r="DF24" s="25">
        <f> DATE(CY$5,8,1)</f>
        <v/>
      </c>
      <c r="DG24" s="25">
        <f> DATE(CY$5,9,1)</f>
        <v/>
      </c>
      <c r="DH24" s="25">
        <f> DATE(CY$5,10,1)</f>
        <v/>
      </c>
      <c r="DI24" s="25">
        <f> DATE(CY$5,11,1)</f>
        <v/>
      </c>
      <c r="DJ24" s="25">
        <f> DATE(CY$5,12,1)</f>
        <v/>
      </c>
      <c r="DK24" s="26">
        <f>CY$5</f>
        <v/>
      </c>
      <c r="DM24" s="25">
        <f> DATE(DM$5,1,1)</f>
        <v/>
      </c>
      <c r="DN24" s="25">
        <f> DATE(DM$5,2,1)</f>
        <v/>
      </c>
      <c r="DO24" s="25">
        <f> DATE(DM$5,3,1)</f>
        <v/>
      </c>
      <c r="DP24" s="25">
        <f> DATE(DM$5,4,1)</f>
        <v/>
      </c>
      <c r="DQ24" s="25">
        <f> DATE(DM$5,5,1)</f>
        <v/>
      </c>
      <c r="DR24" s="25">
        <f> DATE(DM$5,6,1)</f>
        <v/>
      </c>
      <c r="DS24" s="25">
        <f> DATE(DM$5,7,1)</f>
        <v/>
      </c>
      <c r="DT24" s="25">
        <f> DATE(DM$5,8,1)</f>
        <v/>
      </c>
      <c r="DU24" s="25">
        <f> DATE(DM$5,9,1)</f>
        <v/>
      </c>
      <c r="DV24" s="25">
        <f> DATE(DM$5,10,1)</f>
        <v/>
      </c>
      <c r="DW24" s="25">
        <f> DATE(DM$5,11,1)</f>
        <v/>
      </c>
      <c r="DX24" s="25">
        <f> DATE(DM$5,12,1)</f>
        <v/>
      </c>
      <c r="DY24" s="26">
        <f>DM$5</f>
        <v/>
      </c>
      <c r="EA24" s="25">
        <f> DATE(EA$5,1,1)</f>
        <v/>
      </c>
      <c r="EB24" s="25">
        <f> DATE(EA$5,2,1)</f>
        <v/>
      </c>
      <c r="EC24" s="25">
        <f> DATE(EA$5,3,1)</f>
        <v/>
      </c>
      <c r="ED24" s="25">
        <f> DATE(EA$5,4,1)</f>
        <v/>
      </c>
      <c r="EE24" s="25">
        <f> DATE(EA$5,5,1)</f>
        <v/>
      </c>
      <c r="EF24" s="25">
        <f> DATE(EA$5,6,1)</f>
        <v/>
      </c>
      <c r="EG24" s="25">
        <f> DATE(EA$5,7,1)</f>
        <v/>
      </c>
      <c r="EH24" s="25">
        <f> DATE(EA$5,8,1)</f>
        <v/>
      </c>
      <c r="EI24" s="25">
        <f> DATE(EA$5,9,1)</f>
        <v/>
      </c>
      <c r="EJ24" s="25">
        <f> DATE(EA$5,10,1)</f>
        <v/>
      </c>
      <c r="EK24" s="25">
        <f> DATE(EA$5,11,1)</f>
        <v/>
      </c>
      <c r="EL24" s="25">
        <f> DATE(EA$5,12,1)</f>
        <v/>
      </c>
      <c r="EM24" s="26">
        <f>EA$5</f>
        <v/>
      </c>
    </row>
    <row r="25">
      <c r="C25" s="20" t="inlineStr">
        <is>
          <t>Rent</t>
        </is>
      </c>
      <c r="E25" s="21" t="n"/>
      <c r="F25" s="21" t="n"/>
      <c r="G25" s="21" t="n"/>
      <c r="H25" s="21" t="n"/>
      <c r="I25" s="21" t="n"/>
      <c r="J25" s="21" t="n"/>
      <c r="K25" s="21" t="n"/>
      <c r="L25" s="21" t="n"/>
      <c r="M25" s="21" t="n"/>
      <c r="N25" s="21" t="n"/>
      <c r="O25" s="21" t="n"/>
      <c r="P25" s="21" t="n"/>
      <c r="Q25" s="23">
        <f> SUM(E25:P25)</f>
        <v/>
      </c>
      <c r="S25" s="21" t="n">
        <v>1500</v>
      </c>
      <c r="T25" s="21" t="n"/>
      <c r="U25" s="21" t="n"/>
      <c r="V25" s="21" t="n"/>
      <c r="W25" s="21" t="n"/>
      <c r="X25" s="21" t="n"/>
      <c r="Y25" s="21" t="n"/>
      <c r="Z25" s="21" t="n"/>
      <c r="AA25" s="21" t="n"/>
      <c r="AB25" s="21" t="n"/>
      <c r="AC25" s="21" t="n"/>
      <c r="AD25" s="21" t="n"/>
      <c r="AE25" s="23">
        <f> SUM(S25:AD25)</f>
        <v/>
      </c>
      <c r="AG25" s="21" t="n"/>
      <c r="AH25" s="21" t="n"/>
      <c r="AI25" s="21" t="n"/>
      <c r="AJ25" s="21" t="n"/>
      <c r="AK25" s="21" t="n"/>
      <c r="AL25" s="21" t="n"/>
      <c r="AM25" s="21" t="n"/>
      <c r="AN25" s="21" t="n"/>
      <c r="AO25" s="21" t="n"/>
      <c r="AP25" s="21" t="n"/>
      <c r="AQ25" s="21" t="n"/>
      <c r="AR25" s="21" t="n"/>
      <c r="AS25" s="23">
        <f> SUM(AG25:AR25)</f>
        <v/>
      </c>
      <c r="AU25" s="21" t="n"/>
      <c r="AV25" s="21" t="n"/>
      <c r="AW25" s="21" t="n"/>
      <c r="AX25" s="21" t="n"/>
      <c r="AY25" s="21" t="n"/>
      <c r="AZ25" s="21" t="n"/>
      <c r="BA25" s="21" t="n"/>
      <c r="BB25" s="21" t="n"/>
      <c r="BC25" s="21" t="n"/>
      <c r="BD25" s="21" t="n"/>
      <c r="BE25" s="21" t="n"/>
      <c r="BF25" s="21" t="n"/>
      <c r="BG25" s="23">
        <f> SUM(AU25:BF25)</f>
        <v/>
      </c>
      <c r="BI25" s="21" t="n"/>
      <c r="BJ25" s="21" t="n"/>
      <c r="BK25" s="21" t="n"/>
      <c r="BL25" s="21" t="n"/>
      <c r="BM25" s="21" t="n"/>
      <c r="BN25" s="21" t="n"/>
      <c r="BO25" s="21" t="n"/>
      <c r="BP25" s="21" t="n"/>
      <c r="BQ25" s="21" t="n"/>
      <c r="BR25" s="21" t="n"/>
      <c r="BS25" s="21" t="n"/>
      <c r="BT25" s="21" t="n"/>
      <c r="BU25" s="23">
        <f> SUM(BI25:BT25)</f>
        <v/>
      </c>
      <c r="BW25" s="21" t="n"/>
      <c r="BX25" s="21" t="n"/>
      <c r="BY25" s="21" t="n"/>
      <c r="BZ25" s="21" t="n"/>
      <c r="CA25" s="21" t="n"/>
      <c r="CB25" s="21" t="n"/>
      <c r="CC25" s="21" t="n"/>
      <c r="CD25" s="21" t="n"/>
      <c r="CE25" s="21" t="n"/>
      <c r="CF25" s="21" t="n"/>
      <c r="CG25" s="21" t="n"/>
      <c r="CH25" s="21" t="n"/>
      <c r="CI25" s="23">
        <f> SUM(BW25:CH25)</f>
        <v/>
      </c>
      <c r="CK25" s="21" t="n"/>
      <c r="CL25" s="21" t="n"/>
      <c r="CM25" s="21" t="n"/>
      <c r="CN25" s="21" t="n"/>
      <c r="CO25" s="21" t="n"/>
      <c r="CP25" s="21" t="n"/>
      <c r="CQ25" s="21" t="n"/>
      <c r="CR25" s="21" t="n"/>
      <c r="CS25" s="21" t="n"/>
      <c r="CT25" s="21" t="n"/>
      <c r="CU25" s="21" t="n"/>
      <c r="CV25" s="21" t="n"/>
      <c r="CW25" s="23">
        <f> SUM(CK25:CV25)</f>
        <v/>
      </c>
      <c r="CY25" s="21" t="n"/>
      <c r="CZ25" s="21" t="n"/>
      <c r="DA25" s="21" t="n"/>
      <c r="DB25" s="21" t="n"/>
      <c r="DC25" s="21" t="n"/>
      <c r="DD25" s="21" t="n"/>
      <c r="DE25" s="21" t="n"/>
      <c r="DF25" s="21" t="n"/>
      <c r="DG25" s="21" t="n"/>
      <c r="DH25" s="21" t="n"/>
      <c r="DI25" s="21" t="n"/>
      <c r="DJ25" s="21" t="n"/>
      <c r="DK25" s="23">
        <f> SUM(CY25:DJ25)</f>
        <v/>
      </c>
      <c r="DM25" s="21" t="n"/>
      <c r="DN25" s="21" t="n"/>
      <c r="DO25" s="21" t="n"/>
      <c r="DP25" s="21" t="n"/>
      <c r="DQ25" s="21" t="n"/>
      <c r="DR25" s="21" t="n"/>
      <c r="DS25" s="21" t="n"/>
      <c r="DT25" s="21" t="n"/>
      <c r="DU25" s="21" t="n"/>
      <c r="DV25" s="21" t="n"/>
      <c r="DW25" s="21" t="n"/>
      <c r="DX25" s="21" t="n"/>
      <c r="DY25" s="23">
        <f> SUM(DM25:DX25)</f>
        <v/>
      </c>
      <c r="EA25" s="21" t="n"/>
      <c r="EB25" s="21" t="n"/>
      <c r="EC25" s="21" t="n"/>
      <c r="ED25" s="21" t="n"/>
      <c r="EE25" s="21" t="n"/>
      <c r="EF25" s="21" t="n"/>
      <c r="EG25" s="21" t="n"/>
      <c r="EH25" s="21" t="n"/>
      <c r="EI25" s="21" t="n"/>
      <c r="EJ25" s="21" t="n"/>
      <c r="EK25" s="21" t="n"/>
      <c r="EL25" s="21" t="n"/>
      <c r="EM25" s="23">
        <f> SUM(EA25:EL25)</f>
        <v/>
      </c>
    </row>
    <row r="26">
      <c r="C26" s="20" t="inlineStr">
        <is>
          <t>Food</t>
        </is>
      </c>
      <c r="E26" s="21" t="n"/>
      <c r="F26" s="21" t="n"/>
      <c r="G26" s="21" t="n"/>
      <c r="H26" s="21" t="n"/>
      <c r="I26" s="21" t="n"/>
      <c r="J26" s="21" t="n"/>
      <c r="K26" s="21" t="n"/>
      <c r="L26" s="21" t="n"/>
      <c r="M26" s="21" t="n"/>
      <c r="N26" s="21" t="n"/>
      <c r="O26" s="21" t="n"/>
      <c r="P26" s="21" t="n"/>
      <c r="Q26" s="23">
        <f> SUM(E26:P26)</f>
        <v/>
      </c>
      <c r="S26" s="21" t="n"/>
      <c r="T26" s="21" t="n"/>
      <c r="U26" s="21" t="n"/>
      <c r="V26" s="21" t="n"/>
      <c r="W26" s="21" t="n"/>
      <c r="X26" s="21" t="n"/>
      <c r="Y26" s="21" t="n"/>
      <c r="Z26" s="21" t="n"/>
      <c r="AA26" s="21" t="n"/>
      <c r="AB26" s="21" t="n"/>
      <c r="AC26" s="21" t="n"/>
      <c r="AD26" s="21" t="n"/>
      <c r="AE26" s="23">
        <f> SUM(S26:AD26)</f>
        <v/>
      </c>
      <c r="AG26" s="21" t="n"/>
      <c r="AH26" s="21" t="n"/>
      <c r="AI26" s="21" t="n"/>
      <c r="AJ26" s="21" t="n"/>
      <c r="AK26" s="21" t="n"/>
      <c r="AL26" s="21" t="n"/>
      <c r="AM26" s="21" t="n"/>
      <c r="AN26" s="21" t="n"/>
      <c r="AO26" s="21" t="n"/>
      <c r="AP26" s="21" t="n"/>
      <c r="AQ26" s="21" t="n"/>
      <c r="AR26" s="21" t="n"/>
      <c r="AS26" s="23">
        <f> SUM(AG26:AR26)</f>
        <v/>
      </c>
      <c r="AU26" s="21" t="n"/>
      <c r="AV26" s="21" t="n"/>
      <c r="AW26" s="21" t="n"/>
      <c r="AX26" s="21" t="n"/>
      <c r="AY26" s="21" t="n"/>
      <c r="AZ26" s="21" t="n"/>
      <c r="BA26" s="21" t="n"/>
      <c r="BB26" s="21" t="n"/>
      <c r="BC26" s="21" t="n"/>
      <c r="BD26" s="21" t="n"/>
      <c r="BE26" s="21" t="n"/>
      <c r="BF26" s="21" t="n"/>
      <c r="BG26" s="23">
        <f> SUM(AU26:BF26)</f>
        <v/>
      </c>
      <c r="BI26" s="21" t="n"/>
      <c r="BJ26" s="21" t="n"/>
      <c r="BK26" s="21" t="n"/>
      <c r="BL26" s="21" t="n"/>
      <c r="BM26" s="21" t="n"/>
      <c r="BN26" s="21" t="n"/>
      <c r="BO26" s="21" t="n"/>
      <c r="BP26" s="21" t="n"/>
      <c r="BQ26" s="21" t="n"/>
      <c r="BR26" s="21" t="n"/>
      <c r="BS26" s="21" t="n"/>
      <c r="BT26" s="21" t="n"/>
      <c r="BU26" s="23">
        <f> SUM(BI26:BT26)</f>
        <v/>
      </c>
      <c r="BW26" s="21" t="n"/>
      <c r="BX26" s="21" t="n"/>
      <c r="BY26" s="21" t="n"/>
      <c r="BZ26" s="21" t="n"/>
      <c r="CA26" s="21" t="n"/>
      <c r="CB26" s="21" t="n"/>
      <c r="CC26" s="21" t="n"/>
      <c r="CD26" s="21" t="n"/>
      <c r="CE26" s="21" t="n"/>
      <c r="CF26" s="21" t="n"/>
      <c r="CG26" s="21" t="n"/>
      <c r="CH26" s="21" t="n"/>
      <c r="CI26" s="23">
        <f> SUM(BW26:CH26)</f>
        <v/>
      </c>
      <c r="CK26" s="21" t="n"/>
      <c r="CL26" s="21" t="n"/>
      <c r="CM26" s="21" t="n"/>
      <c r="CN26" s="21" t="n"/>
      <c r="CO26" s="21" t="n"/>
      <c r="CP26" s="21" t="n"/>
      <c r="CQ26" s="21" t="n"/>
      <c r="CR26" s="21" t="n"/>
      <c r="CS26" s="21" t="n"/>
      <c r="CT26" s="21" t="n"/>
      <c r="CU26" s="21" t="n"/>
      <c r="CV26" s="21" t="n"/>
      <c r="CW26" s="23">
        <f> SUM(CK26:CV26)</f>
        <v/>
      </c>
      <c r="CY26" s="21" t="n"/>
      <c r="CZ26" s="21" t="n"/>
      <c r="DA26" s="21" t="n"/>
      <c r="DB26" s="21" t="n"/>
      <c r="DC26" s="21" t="n"/>
      <c r="DD26" s="21" t="n"/>
      <c r="DE26" s="21" t="n"/>
      <c r="DF26" s="21" t="n"/>
      <c r="DG26" s="21" t="n"/>
      <c r="DH26" s="21" t="n"/>
      <c r="DI26" s="21" t="n"/>
      <c r="DJ26" s="21" t="n"/>
      <c r="DK26" s="23">
        <f> SUM(CY26:DJ26)</f>
        <v/>
      </c>
      <c r="DM26" s="21" t="n"/>
      <c r="DN26" s="21" t="n"/>
      <c r="DO26" s="21" t="n"/>
      <c r="DP26" s="21" t="n"/>
      <c r="DQ26" s="21" t="n"/>
      <c r="DR26" s="21" t="n"/>
      <c r="DS26" s="21" t="n"/>
      <c r="DT26" s="21" t="n"/>
      <c r="DU26" s="21" t="n"/>
      <c r="DV26" s="21" t="n"/>
      <c r="DW26" s="21" t="n"/>
      <c r="DX26" s="21" t="n"/>
      <c r="DY26" s="23">
        <f> SUM(DM26:DX26)</f>
        <v/>
      </c>
      <c r="EA26" s="21" t="n"/>
      <c r="EB26" s="21" t="n"/>
      <c r="EC26" s="21" t="n"/>
      <c r="ED26" s="21" t="n"/>
      <c r="EE26" s="21" t="n"/>
      <c r="EF26" s="21" t="n"/>
      <c r="EG26" s="21" t="n"/>
      <c r="EH26" s="21" t="n"/>
      <c r="EI26" s="21" t="n"/>
      <c r="EJ26" s="21" t="n"/>
      <c r="EK26" s="21" t="n"/>
      <c r="EL26" s="21" t="n"/>
      <c r="EM26" s="23">
        <f> SUM(EA26:EL26)</f>
        <v/>
      </c>
    </row>
    <row r="27">
      <c r="C27" s="20" t="inlineStr">
        <is>
          <t>Subscription</t>
        </is>
      </c>
      <c r="E27" s="21" t="n"/>
      <c r="F27" s="21" t="n"/>
      <c r="G27" s="21" t="n"/>
      <c r="H27" s="21" t="n"/>
      <c r="I27" s="21" t="n"/>
      <c r="J27" s="21" t="n"/>
      <c r="K27" s="21" t="n"/>
      <c r="L27" s="21" t="n"/>
      <c r="M27" s="21" t="n"/>
      <c r="N27" s="21" t="n"/>
      <c r="O27" s="21" t="n"/>
      <c r="P27" s="21" t="n"/>
      <c r="Q27" s="23">
        <f> SUM(E27:P27)</f>
        <v/>
      </c>
      <c r="S27" s="21" t="n"/>
      <c r="T27" s="21" t="n"/>
      <c r="U27" s="21" t="n"/>
      <c r="V27" s="21" t="n"/>
      <c r="W27" s="21" t="n"/>
      <c r="X27" s="21" t="n"/>
      <c r="Y27" s="21" t="n"/>
      <c r="Z27" s="21" t="n"/>
      <c r="AA27" s="21" t="n"/>
      <c r="AB27" s="21" t="n"/>
      <c r="AC27" s="21" t="n"/>
      <c r="AD27" s="21" t="n"/>
      <c r="AE27" s="23">
        <f> SUM(S27:AD27)</f>
        <v/>
      </c>
      <c r="AG27" s="21" t="n"/>
      <c r="AH27" s="21" t="n"/>
      <c r="AI27" s="21" t="n"/>
      <c r="AJ27" s="21" t="n"/>
      <c r="AK27" s="21" t="n"/>
      <c r="AL27" s="21" t="n"/>
      <c r="AM27" s="21" t="n"/>
      <c r="AN27" s="21" t="n"/>
      <c r="AO27" s="21" t="n"/>
      <c r="AP27" s="21" t="n"/>
      <c r="AQ27" s="21" t="n"/>
      <c r="AR27" s="21" t="n"/>
      <c r="AS27" s="23" t="n"/>
      <c r="AU27" s="21" t="n"/>
      <c r="AV27" s="21" t="n"/>
      <c r="AW27" s="21" t="n"/>
      <c r="AX27" s="21" t="n"/>
      <c r="AY27" s="21" t="n"/>
      <c r="AZ27" s="21" t="n"/>
      <c r="BA27" s="21" t="n"/>
      <c r="BB27" s="21" t="n"/>
      <c r="BC27" s="21" t="n"/>
      <c r="BD27" s="21" t="n"/>
      <c r="BE27" s="21" t="n"/>
      <c r="BF27" s="21" t="n"/>
      <c r="BG27" s="23" t="n"/>
      <c r="BI27" s="21" t="n"/>
      <c r="BJ27" s="21" t="n"/>
      <c r="BK27" s="21" t="n"/>
      <c r="BL27" s="21" t="n"/>
      <c r="BM27" s="21" t="n"/>
      <c r="BN27" s="21" t="n"/>
      <c r="BO27" s="21" t="n"/>
      <c r="BP27" s="21" t="n"/>
      <c r="BQ27" s="21" t="n"/>
      <c r="BR27" s="21" t="n"/>
      <c r="BS27" s="21" t="n"/>
      <c r="BT27" s="21" t="n"/>
      <c r="BU27" s="23" t="n"/>
      <c r="BW27" s="21" t="n"/>
      <c r="BX27" s="21" t="n"/>
      <c r="BY27" s="21" t="n"/>
      <c r="BZ27" s="21" t="n"/>
      <c r="CA27" s="21" t="n"/>
      <c r="CB27" s="21" t="n"/>
      <c r="CC27" s="21" t="n"/>
      <c r="CD27" s="21" t="n"/>
      <c r="CE27" s="21" t="n"/>
      <c r="CF27" s="21" t="n"/>
      <c r="CG27" s="21" t="n"/>
      <c r="CH27" s="21" t="n"/>
      <c r="CI27" s="23" t="n"/>
      <c r="CK27" s="21" t="n"/>
      <c r="CL27" s="21" t="n"/>
      <c r="CM27" s="21" t="n"/>
      <c r="CN27" s="21" t="n"/>
      <c r="CO27" s="21" t="n"/>
      <c r="CP27" s="21" t="n"/>
      <c r="CQ27" s="21" t="n"/>
      <c r="CR27" s="21" t="n"/>
      <c r="CS27" s="21" t="n"/>
      <c r="CT27" s="21" t="n"/>
      <c r="CU27" s="21" t="n"/>
      <c r="CV27" s="21" t="n"/>
      <c r="CW27" s="23" t="n"/>
      <c r="CY27" s="21" t="n"/>
      <c r="CZ27" s="21" t="n"/>
      <c r="DA27" s="21" t="n"/>
      <c r="DB27" s="21" t="n"/>
      <c r="DC27" s="21" t="n"/>
      <c r="DD27" s="21" t="n"/>
      <c r="DE27" s="21" t="n"/>
      <c r="DF27" s="21" t="n"/>
      <c r="DG27" s="21" t="n"/>
      <c r="DH27" s="21" t="n"/>
      <c r="DI27" s="21" t="n"/>
      <c r="DJ27" s="21" t="n"/>
      <c r="DK27" s="23" t="n"/>
      <c r="DM27" s="21" t="n"/>
      <c r="DN27" s="21" t="n"/>
      <c r="DO27" s="21" t="n"/>
      <c r="DP27" s="21" t="n"/>
      <c r="DQ27" s="21" t="n"/>
      <c r="DR27" s="21" t="n"/>
      <c r="DS27" s="21" t="n"/>
      <c r="DT27" s="21" t="n"/>
      <c r="DU27" s="21" t="n"/>
      <c r="DV27" s="21" t="n"/>
      <c r="DW27" s="21" t="n"/>
      <c r="DX27" s="21" t="n"/>
      <c r="DY27" s="23" t="n"/>
      <c r="EA27" s="21" t="n"/>
      <c r="EB27" s="21" t="n"/>
      <c r="EC27" s="21" t="n"/>
      <c r="ED27" s="21" t="n"/>
      <c r="EE27" s="21" t="n"/>
      <c r="EF27" s="21" t="n"/>
      <c r="EG27" s="21" t="n"/>
      <c r="EH27" s="21" t="n"/>
      <c r="EI27" s="21" t="n"/>
      <c r="EJ27" s="21" t="n"/>
      <c r="EK27" s="21" t="n"/>
      <c r="EL27" s="21" t="n"/>
      <c r="EM27" s="23" t="n"/>
    </row>
    <row r="28">
      <c r="C28" s="20" t="inlineStr">
        <is>
          <t>ne</t>
        </is>
      </c>
      <c r="E28" s="21" t="n"/>
      <c r="F28" s="21" t="n"/>
      <c r="G28" s="21" t="n"/>
      <c r="H28" s="21" t="n"/>
      <c r="I28" s="21" t="n"/>
      <c r="J28" s="21" t="n"/>
      <c r="K28" s="21" t="n"/>
      <c r="L28" s="21" t="n"/>
      <c r="M28" s="21" t="n"/>
      <c r="N28" s="21" t="n"/>
      <c r="O28" s="21" t="n"/>
      <c r="P28" s="21" t="n"/>
      <c r="Q28" s="23">
        <f> SUM(E28:P28)</f>
        <v/>
      </c>
      <c r="S28" s="21" t="n"/>
      <c r="T28" s="21" t="n"/>
      <c r="U28" s="21" t="n"/>
      <c r="V28" s="21" t="n"/>
      <c r="W28" s="21" t="n"/>
      <c r="X28" s="21" t="n"/>
      <c r="Y28" s="21" t="n"/>
      <c r="Z28" s="21" t="n"/>
      <c r="AA28" s="21" t="n"/>
      <c r="AB28" s="21" t="n"/>
      <c r="AC28" s="21" t="n"/>
      <c r="AD28" s="21" t="n"/>
      <c r="AE28" s="23">
        <f> SUM(S28:AD28)</f>
        <v/>
      </c>
      <c r="AG28" s="21" t="n"/>
      <c r="AH28" s="21" t="n"/>
      <c r="AI28" s="21" t="n"/>
      <c r="AJ28" s="21" t="n"/>
      <c r="AK28" s="21" t="n"/>
      <c r="AL28" s="21" t="n"/>
      <c r="AM28" s="21" t="n"/>
      <c r="AN28" s="21" t="n"/>
      <c r="AO28" s="21" t="n"/>
      <c r="AP28" s="21" t="n"/>
      <c r="AQ28" s="21" t="n"/>
      <c r="AR28" s="21" t="n"/>
      <c r="AS28" s="23">
        <f> SUM(AG28:AR28)</f>
        <v/>
      </c>
      <c r="AU28" s="21" t="n"/>
      <c r="AV28" s="21" t="n"/>
      <c r="AW28" s="21" t="n"/>
      <c r="AX28" s="21" t="n"/>
      <c r="AY28" s="21" t="n"/>
      <c r="AZ28" s="21" t="n"/>
      <c r="BA28" s="21" t="n"/>
      <c r="BB28" s="21" t="n"/>
      <c r="BC28" s="21" t="n"/>
      <c r="BD28" s="21" t="n"/>
      <c r="BE28" s="21" t="n"/>
      <c r="BF28" s="21" t="n"/>
      <c r="BG28" s="23">
        <f> SUM(AU28:BF28)</f>
        <v/>
      </c>
      <c r="BI28" s="21" t="n"/>
      <c r="BJ28" s="21" t="n"/>
      <c r="BK28" s="21" t="n"/>
      <c r="BL28" s="21" t="n"/>
      <c r="BM28" s="21" t="n"/>
      <c r="BN28" s="21" t="n"/>
      <c r="BO28" s="21" t="n"/>
      <c r="BP28" s="21" t="n"/>
      <c r="BQ28" s="21" t="n"/>
      <c r="BR28" s="21" t="n"/>
      <c r="BS28" s="21" t="n"/>
      <c r="BT28" s="21" t="n"/>
      <c r="BU28" s="23">
        <f> SUM(BI28:BT28)</f>
        <v/>
      </c>
      <c r="BW28" s="21" t="n"/>
      <c r="BX28" s="21" t="n"/>
      <c r="BY28" s="21" t="n"/>
      <c r="BZ28" s="21" t="n"/>
      <c r="CA28" s="21" t="n"/>
      <c r="CB28" s="21" t="n"/>
      <c r="CC28" s="21" t="n"/>
      <c r="CD28" s="21" t="n"/>
      <c r="CE28" s="21" t="n"/>
      <c r="CF28" s="21" t="n"/>
      <c r="CG28" s="21" t="n"/>
      <c r="CH28" s="21" t="n"/>
      <c r="CI28" s="23">
        <f> SUM(BW28:CH28)</f>
        <v/>
      </c>
      <c r="CK28" s="21" t="n"/>
      <c r="CL28" s="21" t="n"/>
      <c r="CM28" s="21" t="n"/>
      <c r="CN28" s="21" t="n"/>
      <c r="CO28" s="21" t="n"/>
      <c r="CP28" s="21" t="n"/>
      <c r="CQ28" s="21" t="n"/>
      <c r="CR28" s="21" t="n"/>
      <c r="CS28" s="21" t="n"/>
      <c r="CT28" s="21" t="n"/>
      <c r="CU28" s="21" t="n"/>
      <c r="CV28" s="21" t="n"/>
      <c r="CW28" s="23">
        <f> SUM(CK28:CV28)</f>
        <v/>
      </c>
      <c r="CY28" s="21" t="n"/>
      <c r="CZ28" s="21" t="n"/>
      <c r="DA28" s="21" t="n"/>
      <c r="DB28" s="21" t="n"/>
      <c r="DC28" s="21" t="n"/>
      <c r="DD28" s="21" t="n"/>
      <c r="DE28" s="21" t="n"/>
      <c r="DF28" s="21" t="n"/>
      <c r="DG28" s="21" t="n"/>
      <c r="DH28" s="21" t="n"/>
      <c r="DI28" s="21" t="n"/>
      <c r="DJ28" s="21" t="n"/>
      <c r="DK28" s="23">
        <f> SUM(CY28:DJ28)</f>
        <v/>
      </c>
      <c r="DM28" s="21" t="n"/>
      <c r="DN28" s="21" t="n"/>
      <c r="DO28" s="21" t="n"/>
      <c r="DP28" s="21" t="n"/>
      <c r="DQ28" s="21" t="n"/>
      <c r="DR28" s="21" t="n"/>
      <c r="DS28" s="21" t="n"/>
      <c r="DT28" s="21" t="n"/>
      <c r="DU28" s="21" t="n"/>
      <c r="DV28" s="21" t="n"/>
      <c r="DW28" s="21" t="n"/>
      <c r="DX28" s="21" t="n"/>
      <c r="DY28" s="23">
        <f> SUM(DM28:DX28)</f>
        <v/>
      </c>
      <c r="EA28" s="21" t="n"/>
      <c r="EB28" s="21" t="n"/>
      <c r="EC28" s="21" t="n"/>
      <c r="ED28" s="21" t="n"/>
      <c r="EE28" s="21" t="n"/>
      <c r="EF28" s="21" t="n"/>
      <c r="EG28" s="21" t="n"/>
      <c r="EH28" s="21" t="n"/>
      <c r="EI28" s="21" t="n"/>
      <c r="EJ28" s="21" t="n"/>
      <c r="EK28" s="21" t="n"/>
      <c r="EL28" s="21" t="n"/>
      <c r="EM28" s="23">
        <f> SUM(EA28:EL28)</f>
        <v/>
      </c>
    </row>
    <row r="29">
      <c r="C29" s="20" t="inlineStr">
        <is>
          <t>ha</t>
        </is>
      </c>
      <c r="E29" s="21" t="n"/>
      <c r="F29" s="21" t="n"/>
      <c r="G29" s="21" t="n"/>
      <c r="H29" s="21" t="n"/>
      <c r="I29" s="21" t="n"/>
      <c r="J29" s="21" t="n"/>
      <c r="K29" s="21" t="n"/>
      <c r="L29" s="21" t="n"/>
      <c r="M29" s="21" t="n"/>
      <c r="N29" s="21" t="n"/>
      <c r="O29" s="21" t="n"/>
      <c r="P29" s="21" t="n"/>
      <c r="Q29" s="23">
        <f> SUM(E29:P29)</f>
        <v/>
      </c>
      <c r="S29" s="21" t="n"/>
      <c r="T29" s="21" t="n"/>
      <c r="U29" s="21" t="n"/>
      <c r="V29" s="21" t="n"/>
      <c r="W29" s="21" t="n"/>
      <c r="X29" s="21" t="n"/>
      <c r="Y29" s="21" t="n"/>
      <c r="Z29" s="21" t="n"/>
      <c r="AA29" s="21" t="n"/>
      <c r="AB29" s="21" t="n"/>
      <c r="AC29" s="21" t="n"/>
      <c r="AD29" s="21" t="n"/>
      <c r="AE29" s="23">
        <f> SUM(S29:AD29)</f>
        <v/>
      </c>
      <c r="AG29" s="21" t="n"/>
      <c r="AH29" s="21" t="n"/>
      <c r="AI29" s="21" t="n"/>
      <c r="AJ29" s="21" t="n"/>
      <c r="AK29" s="21" t="n"/>
      <c r="AL29" s="21" t="n"/>
      <c r="AM29" s="21" t="n"/>
      <c r="AN29" s="21" t="n"/>
      <c r="AO29" s="21" t="n"/>
      <c r="AP29" s="21" t="n"/>
      <c r="AQ29" s="21" t="n"/>
      <c r="AR29" s="21" t="n"/>
      <c r="AS29" s="23" t="n"/>
      <c r="AU29" s="21" t="n"/>
      <c r="AV29" s="21" t="n"/>
      <c r="AW29" s="21" t="n"/>
      <c r="AX29" s="21" t="n"/>
      <c r="AY29" s="21" t="n"/>
      <c r="AZ29" s="21" t="n"/>
      <c r="BA29" s="21" t="n"/>
      <c r="BB29" s="21" t="n"/>
      <c r="BC29" s="21" t="n"/>
      <c r="BD29" s="21" t="n"/>
      <c r="BE29" s="21" t="n"/>
      <c r="BF29" s="21" t="n"/>
      <c r="BG29" s="23" t="n"/>
      <c r="BI29" s="21" t="n"/>
      <c r="BJ29" s="21" t="n"/>
      <c r="BK29" s="21" t="n"/>
      <c r="BL29" s="21" t="n"/>
      <c r="BM29" s="21" t="n"/>
      <c r="BN29" s="21" t="n"/>
      <c r="BO29" s="21" t="n"/>
      <c r="BP29" s="21" t="n"/>
      <c r="BQ29" s="21" t="n"/>
      <c r="BR29" s="21" t="n"/>
      <c r="BS29" s="21" t="n"/>
      <c r="BT29" s="21" t="n"/>
      <c r="BU29" s="23" t="n"/>
      <c r="BW29" s="21" t="n"/>
      <c r="BX29" s="21" t="n"/>
      <c r="BY29" s="21" t="n"/>
      <c r="BZ29" s="21" t="n"/>
      <c r="CA29" s="21" t="n"/>
      <c r="CB29" s="21" t="n"/>
      <c r="CC29" s="21" t="n"/>
      <c r="CD29" s="21" t="n"/>
      <c r="CE29" s="21" t="n"/>
      <c r="CF29" s="21" t="n"/>
      <c r="CG29" s="21" t="n"/>
      <c r="CH29" s="21" t="n"/>
      <c r="CI29" s="23" t="n"/>
      <c r="CK29" s="21" t="n"/>
      <c r="CL29" s="21" t="n"/>
      <c r="CM29" s="21" t="n"/>
      <c r="CN29" s="21" t="n"/>
      <c r="CO29" s="21" t="n"/>
      <c r="CP29" s="21" t="n"/>
      <c r="CQ29" s="21" t="n"/>
      <c r="CR29" s="21" t="n"/>
      <c r="CS29" s="21" t="n"/>
      <c r="CT29" s="21" t="n"/>
      <c r="CU29" s="21" t="n"/>
      <c r="CV29" s="21" t="n"/>
      <c r="CW29" s="23" t="n"/>
      <c r="CY29" s="21" t="n"/>
      <c r="CZ29" s="21" t="n"/>
      <c r="DA29" s="21" t="n"/>
      <c r="DB29" s="21" t="n"/>
      <c r="DC29" s="21" t="n"/>
      <c r="DD29" s="21" t="n"/>
      <c r="DE29" s="21" t="n"/>
      <c r="DF29" s="21" t="n"/>
      <c r="DG29" s="21" t="n"/>
      <c r="DH29" s="21" t="n"/>
      <c r="DI29" s="21" t="n"/>
      <c r="DJ29" s="21" t="n"/>
      <c r="DK29" s="23" t="n"/>
      <c r="DM29" s="21" t="n"/>
      <c r="DN29" s="21" t="n"/>
      <c r="DO29" s="21" t="n"/>
      <c r="DP29" s="21" t="n"/>
      <c r="DQ29" s="21" t="n"/>
      <c r="DR29" s="21" t="n"/>
      <c r="DS29" s="21" t="n"/>
      <c r="DT29" s="21" t="n"/>
      <c r="DU29" s="21" t="n"/>
      <c r="DV29" s="21" t="n"/>
      <c r="DW29" s="21" t="n"/>
      <c r="DX29" s="21" t="n"/>
      <c r="DY29" s="23" t="n"/>
      <c r="EA29" s="21" t="n"/>
      <c r="EB29" s="21" t="n"/>
      <c r="EC29" s="21" t="n"/>
      <c r="ED29" s="21" t="n"/>
      <c r="EE29" s="21" t="n"/>
      <c r="EF29" s="21" t="n"/>
      <c r="EG29" s="21" t="n"/>
      <c r="EH29" s="21" t="n"/>
      <c r="EI29" s="21" t="n"/>
      <c r="EJ29" s="21" t="n"/>
      <c r="EK29" s="21" t="n"/>
      <c r="EL29" s="21" t="n"/>
      <c r="EM29" s="23" t="n"/>
    </row>
    <row r="30">
      <c r="C30" s="20" t="inlineStr">
        <is>
          <t>lo</t>
        </is>
      </c>
      <c r="E30" s="21" t="n"/>
      <c r="F30" s="21" t="n"/>
      <c r="G30" s="21" t="n"/>
      <c r="H30" s="21" t="n"/>
      <c r="I30" s="21" t="n"/>
      <c r="J30" s="21" t="n"/>
      <c r="K30" s="21" t="n"/>
      <c r="L30" s="21" t="n"/>
      <c r="M30" s="21" t="n"/>
      <c r="N30" s="21" t="n"/>
      <c r="O30" s="21" t="n"/>
      <c r="P30" s="21" t="n"/>
      <c r="Q30" s="23">
        <f> SUM(E30:P30)</f>
        <v/>
      </c>
      <c r="S30" s="21" t="n"/>
      <c r="T30" s="21" t="n"/>
      <c r="U30" s="21" t="n"/>
      <c r="V30" s="21" t="n"/>
      <c r="W30" s="21" t="n"/>
      <c r="X30" s="21" t="n"/>
      <c r="Y30" s="21" t="n"/>
      <c r="Z30" s="21" t="n"/>
      <c r="AA30" s="21" t="n"/>
      <c r="AB30" s="21" t="n"/>
      <c r="AC30" s="21" t="n"/>
      <c r="AD30" s="21" t="n"/>
      <c r="AE30" s="23">
        <f> SUM(S30:AD30)</f>
        <v/>
      </c>
      <c r="AG30" s="21" t="n"/>
      <c r="AH30" s="21" t="n"/>
      <c r="AI30" s="21" t="n"/>
      <c r="AJ30" s="21" t="n"/>
      <c r="AK30" s="21" t="n"/>
      <c r="AL30" s="21" t="n"/>
      <c r="AM30" s="21" t="n"/>
      <c r="AN30" s="21" t="n"/>
      <c r="AO30" s="21" t="n"/>
      <c r="AP30" s="21" t="n"/>
      <c r="AQ30" s="21" t="n"/>
      <c r="AR30" s="21" t="n"/>
      <c r="AS30" s="23" t="n"/>
      <c r="AU30" s="21" t="n"/>
      <c r="AV30" s="21" t="n"/>
      <c r="AW30" s="21" t="n"/>
      <c r="AX30" s="21" t="n"/>
      <c r="AY30" s="21" t="n"/>
      <c r="AZ30" s="21" t="n"/>
      <c r="BA30" s="21" t="n"/>
      <c r="BB30" s="21" t="n"/>
      <c r="BC30" s="21" t="n"/>
      <c r="BD30" s="21" t="n"/>
      <c r="BE30" s="21" t="n"/>
      <c r="BF30" s="21" t="n"/>
      <c r="BG30" s="23" t="n"/>
      <c r="BI30" s="21" t="n"/>
      <c r="BJ30" s="21" t="n"/>
      <c r="BK30" s="21" t="n"/>
      <c r="BL30" s="21" t="n"/>
      <c r="BM30" s="21" t="n"/>
      <c r="BN30" s="21" t="n"/>
      <c r="BO30" s="21" t="n"/>
      <c r="BP30" s="21" t="n"/>
      <c r="BQ30" s="21" t="n"/>
      <c r="BR30" s="21" t="n"/>
      <c r="BS30" s="21" t="n"/>
      <c r="BT30" s="21" t="n"/>
      <c r="BU30" s="23" t="n"/>
      <c r="BW30" s="21" t="n"/>
      <c r="BX30" s="21" t="n"/>
      <c r="BY30" s="21" t="n"/>
      <c r="BZ30" s="21" t="n"/>
      <c r="CA30" s="21" t="n"/>
      <c r="CB30" s="21" t="n"/>
      <c r="CC30" s="21" t="n"/>
      <c r="CD30" s="21" t="n"/>
      <c r="CE30" s="21" t="n"/>
      <c r="CF30" s="21" t="n"/>
      <c r="CG30" s="21" t="n"/>
      <c r="CH30" s="21" t="n"/>
      <c r="CI30" s="23" t="n"/>
      <c r="CK30" s="21" t="n"/>
      <c r="CL30" s="21" t="n"/>
      <c r="CM30" s="21" t="n"/>
      <c r="CN30" s="21" t="n"/>
      <c r="CO30" s="21" t="n"/>
      <c r="CP30" s="21" t="n"/>
      <c r="CQ30" s="21" t="n"/>
      <c r="CR30" s="21" t="n"/>
      <c r="CS30" s="21" t="n"/>
      <c r="CT30" s="21" t="n"/>
      <c r="CU30" s="21" t="n"/>
      <c r="CV30" s="21" t="n"/>
      <c r="CW30" s="23" t="n"/>
      <c r="CY30" s="21" t="n"/>
      <c r="CZ30" s="21" t="n"/>
      <c r="DA30" s="21" t="n"/>
      <c r="DB30" s="21" t="n"/>
      <c r="DC30" s="21" t="n"/>
      <c r="DD30" s="21" t="n"/>
      <c r="DE30" s="21" t="n"/>
      <c r="DF30" s="21" t="n"/>
      <c r="DG30" s="21" t="n"/>
      <c r="DH30" s="21" t="n"/>
      <c r="DI30" s="21" t="n"/>
      <c r="DJ30" s="21" t="n"/>
      <c r="DK30" s="23" t="n"/>
      <c r="DM30" s="21" t="n"/>
      <c r="DN30" s="21" t="n"/>
      <c r="DO30" s="21" t="n"/>
      <c r="DP30" s="21" t="n"/>
      <c r="DQ30" s="21" t="n"/>
      <c r="DR30" s="21" t="n"/>
      <c r="DS30" s="21" t="n"/>
      <c r="DT30" s="21" t="n"/>
      <c r="DU30" s="21" t="n"/>
      <c r="DV30" s="21" t="n"/>
      <c r="DW30" s="21" t="n"/>
      <c r="DX30" s="21" t="n"/>
      <c r="DY30" s="23" t="n"/>
      <c r="EA30" s="21" t="n"/>
      <c r="EB30" s="21" t="n"/>
      <c r="EC30" s="21" t="n"/>
      <c r="ED30" s="21" t="n"/>
      <c r="EE30" s="21" t="n"/>
      <c r="EF30" s="21" t="n"/>
      <c r="EG30" s="21" t="n"/>
      <c r="EH30" s="21" t="n"/>
      <c r="EI30" s="21" t="n"/>
      <c r="EJ30" s="21" t="n"/>
      <c r="EK30" s="21" t="n"/>
      <c r="EL30" s="21" t="n"/>
      <c r="EM30" s="23" t="n"/>
    </row>
    <row r="31">
      <c r="C31" s="20" t="inlineStr">
        <is>
          <t>ki</t>
        </is>
      </c>
      <c r="E31" s="21" t="n"/>
      <c r="F31" s="21" t="n"/>
      <c r="G31" s="21" t="n"/>
      <c r="H31" s="21" t="n"/>
      <c r="I31" s="21" t="n"/>
      <c r="J31" s="21" t="n"/>
      <c r="K31" s="21" t="n"/>
      <c r="L31" s="21" t="n"/>
      <c r="M31" s="21" t="n"/>
      <c r="N31" s="21" t="n"/>
      <c r="O31" s="21" t="n"/>
      <c r="P31" s="21" t="n"/>
      <c r="Q31" s="23">
        <f> SUM(E31:P31)</f>
        <v/>
      </c>
      <c r="S31" s="21" t="n"/>
      <c r="T31" s="21" t="n"/>
      <c r="U31" s="21" t="n"/>
      <c r="V31" s="21" t="n"/>
      <c r="W31" s="21" t="n"/>
      <c r="X31" s="21" t="n"/>
      <c r="Y31" s="21" t="n"/>
      <c r="Z31" s="21" t="n"/>
      <c r="AA31" s="21" t="n"/>
      <c r="AB31" s="21" t="n"/>
      <c r="AC31" s="21" t="n"/>
      <c r="AD31" s="21" t="n"/>
      <c r="AE31" s="23">
        <f> SUM(S31:AD31)</f>
        <v/>
      </c>
      <c r="AG31" s="21" t="n"/>
      <c r="AH31" s="21" t="n"/>
      <c r="AI31" s="21" t="n"/>
      <c r="AJ31" s="21" t="n"/>
      <c r="AK31" s="21" t="n"/>
      <c r="AL31" s="21" t="n"/>
      <c r="AM31" s="21" t="n"/>
      <c r="AN31" s="21" t="n"/>
      <c r="AO31" s="21" t="n"/>
      <c r="AP31" s="21" t="n"/>
      <c r="AQ31" s="21" t="n"/>
      <c r="AR31" s="21" t="n"/>
      <c r="AS31" s="23" t="n"/>
      <c r="AU31" s="21" t="n"/>
      <c r="AV31" s="21" t="n"/>
      <c r="AW31" s="21" t="n"/>
      <c r="AX31" s="21" t="n"/>
      <c r="AY31" s="21" t="n"/>
      <c r="AZ31" s="21" t="n"/>
      <c r="BA31" s="21" t="n"/>
      <c r="BB31" s="21" t="n"/>
      <c r="BC31" s="21" t="n"/>
      <c r="BD31" s="21" t="n"/>
      <c r="BE31" s="21" t="n"/>
      <c r="BF31" s="21" t="n"/>
      <c r="BG31" s="23" t="n"/>
      <c r="BI31" s="21" t="n"/>
      <c r="BJ31" s="21" t="n"/>
      <c r="BK31" s="21" t="n"/>
      <c r="BL31" s="21" t="n"/>
      <c r="BM31" s="21" t="n"/>
      <c r="BN31" s="21" t="n"/>
      <c r="BO31" s="21" t="n"/>
      <c r="BP31" s="21" t="n"/>
      <c r="BQ31" s="21" t="n"/>
      <c r="BR31" s="21" t="n"/>
      <c r="BS31" s="21" t="n"/>
      <c r="BT31" s="21" t="n"/>
      <c r="BU31" s="23" t="n"/>
      <c r="BW31" s="21" t="n"/>
      <c r="BX31" s="21" t="n"/>
      <c r="BY31" s="21" t="n"/>
      <c r="BZ31" s="21" t="n"/>
      <c r="CA31" s="21" t="n"/>
      <c r="CB31" s="21" t="n"/>
      <c r="CC31" s="21" t="n"/>
      <c r="CD31" s="21" t="n"/>
      <c r="CE31" s="21" t="n"/>
      <c r="CF31" s="21" t="n"/>
      <c r="CG31" s="21" t="n"/>
      <c r="CH31" s="21" t="n"/>
      <c r="CI31" s="23" t="n"/>
      <c r="CK31" s="21" t="n"/>
      <c r="CL31" s="21" t="n"/>
      <c r="CM31" s="21" t="n"/>
      <c r="CN31" s="21" t="n"/>
      <c r="CO31" s="21" t="n"/>
      <c r="CP31" s="21" t="n"/>
      <c r="CQ31" s="21" t="n"/>
      <c r="CR31" s="21" t="n"/>
      <c r="CS31" s="21" t="n"/>
      <c r="CT31" s="21" t="n"/>
      <c r="CU31" s="21" t="n"/>
      <c r="CV31" s="21" t="n"/>
      <c r="CW31" s="23" t="n"/>
      <c r="CY31" s="21" t="n"/>
      <c r="CZ31" s="21" t="n"/>
      <c r="DA31" s="21" t="n"/>
      <c r="DB31" s="21" t="n"/>
      <c r="DC31" s="21" t="n"/>
      <c r="DD31" s="21" t="n"/>
      <c r="DE31" s="21" t="n"/>
      <c r="DF31" s="21" t="n"/>
      <c r="DG31" s="21" t="n"/>
      <c r="DH31" s="21" t="n"/>
      <c r="DI31" s="21" t="n"/>
      <c r="DJ31" s="21" t="n"/>
      <c r="DK31" s="23" t="n"/>
      <c r="DM31" s="21" t="n"/>
      <c r="DN31" s="21" t="n"/>
      <c r="DO31" s="21" t="n"/>
      <c r="DP31" s="21" t="n"/>
      <c r="DQ31" s="21" t="n"/>
      <c r="DR31" s="21" t="n"/>
      <c r="DS31" s="21" t="n"/>
      <c r="DT31" s="21" t="n"/>
      <c r="DU31" s="21" t="n"/>
      <c r="DV31" s="21" t="n"/>
      <c r="DW31" s="21" t="n"/>
      <c r="DX31" s="21" t="n"/>
      <c r="DY31" s="23" t="n"/>
      <c r="EA31" s="21" t="n"/>
      <c r="EB31" s="21" t="n"/>
      <c r="EC31" s="21" t="n"/>
      <c r="ED31" s="21" t="n"/>
      <c r="EE31" s="21" t="n"/>
      <c r="EF31" s="21" t="n"/>
      <c r="EG31" s="21" t="n"/>
      <c r="EH31" s="21" t="n"/>
      <c r="EI31" s="21" t="n"/>
      <c r="EJ31" s="21" t="n"/>
      <c r="EK31" s="21" t="n"/>
      <c r="EL31" s="21" t="n"/>
      <c r="EM31" s="23" t="n"/>
    </row>
    <row r="32">
      <c r="C32" s="20" t="inlineStr">
        <is>
          <t>ji</t>
        </is>
      </c>
      <c r="E32" s="21" t="n"/>
      <c r="F32" s="21" t="n"/>
      <c r="G32" s="21" t="n"/>
      <c r="H32" s="21" t="n"/>
      <c r="I32" s="21" t="n"/>
      <c r="J32" s="21" t="n"/>
      <c r="K32" s="21" t="n"/>
      <c r="L32" s="21" t="n"/>
      <c r="M32" s="21" t="n"/>
      <c r="N32" s="21" t="n"/>
      <c r="O32" s="21" t="n"/>
      <c r="P32" s="21" t="n"/>
      <c r="Q32" s="23">
        <f> SUM(E32:P32)</f>
        <v/>
      </c>
      <c r="S32" s="21" t="n"/>
      <c r="T32" s="21" t="n"/>
      <c r="U32" s="21" t="n"/>
      <c r="V32" s="21" t="n"/>
      <c r="W32" s="21" t="n"/>
      <c r="X32" s="21" t="n"/>
      <c r="Y32" s="21" t="n"/>
      <c r="Z32" s="21" t="n"/>
      <c r="AA32" s="21" t="n"/>
      <c r="AB32" s="21" t="n"/>
      <c r="AC32" s="21" t="n"/>
      <c r="AD32" s="21" t="n"/>
      <c r="AE32" s="23">
        <f> SUM(S32:AD32)</f>
        <v/>
      </c>
      <c r="AG32" s="21" t="n"/>
      <c r="AH32" s="21" t="n"/>
      <c r="AI32" s="21" t="n"/>
      <c r="AJ32" s="21" t="n"/>
      <c r="AK32" s="21" t="n"/>
      <c r="AL32" s="21" t="n"/>
      <c r="AM32" s="21" t="n"/>
      <c r="AN32" s="21" t="n"/>
      <c r="AO32" s="21" t="n"/>
      <c r="AP32" s="21" t="n"/>
      <c r="AQ32" s="21" t="n"/>
      <c r="AR32" s="21" t="n"/>
      <c r="AS32" s="23" t="n"/>
      <c r="AU32" s="21" t="n"/>
      <c r="AV32" s="21" t="n"/>
      <c r="AW32" s="21" t="n"/>
      <c r="AX32" s="21" t="n"/>
      <c r="AY32" s="21" t="n"/>
      <c r="AZ32" s="21" t="n"/>
      <c r="BA32" s="21" t="n"/>
      <c r="BB32" s="21" t="n"/>
      <c r="BC32" s="21" t="n"/>
      <c r="BD32" s="21" t="n"/>
      <c r="BE32" s="21" t="n"/>
      <c r="BF32" s="21" t="n"/>
      <c r="BG32" s="23" t="n"/>
      <c r="BI32" s="21" t="n"/>
      <c r="BJ32" s="21" t="n"/>
      <c r="BK32" s="21" t="n"/>
      <c r="BL32" s="21" t="n"/>
      <c r="BM32" s="21" t="n"/>
      <c r="BN32" s="21" t="n"/>
      <c r="BO32" s="21" t="n"/>
      <c r="BP32" s="21" t="n"/>
      <c r="BQ32" s="21" t="n"/>
      <c r="BR32" s="21" t="n"/>
      <c r="BS32" s="21" t="n"/>
      <c r="BT32" s="21" t="n"/>
      <c r="BU32" s="23" t="n"/>
      <c r="BW32" s="21" t="n"/>
      <c r="BX32" s="21" t="n"/>
      <c r="BY32" s="21" t="n"/>
      <c r="BZ32" s="21" t="n"/>
      <c r="CA32" s="21" t="n"/>
      <c r="CB32" s="21" t="n"/>
      <c r="CC32" s="21" t="n"/>
      <c r="CD32" s="21" t="n"/>
      <c r="CE32" s="21" t="n"/>
      <c r="CF32" s="21" t="n"/>
      <c r="CG32" s="21" t="n"/>
      <c r="CH32" s="21" t="n"/>
      <c r="CI32" s="23" t="n"/>
      <c r="CK32" s="21" t="n"/>
      <c r="CL32" s="21" t="n"/>
      <c r="CM32" s="21" t="n"/>
      <c r="CN32" s="21" t="n"/>
      <c r="CO32" s="21" t="n"/>
      <c r="CP32" s="21" t="n"/>
      <c r="CQ32" s="21" t="n"/>
      <c r="CR32" s="21" t="n"/>
      <c r="CS32" s="21" t="n"/>
      <c r="CT32" s="21" t="n"/>
      <c r="CU32" s="21" t="n"/>
      <c r="CV32" s="21" t="n"/>
      <c r="CW32" s="23" t="n"/>
      <c r="CY32" s="21" t="n"/>
      <c r="CZ32" s="21" t="n"/>
      <c r="DA32" s="21" t="n"/>
      <c r="DB32" s="21" t="n"/>
      <c r="DC32" s="21" t="n"/>
      <c r="DD32" s="21" t="n"/>
      <c r="DE32" s="21" t="n"/>
      <c r="DF32" s="21" t="n"/>
      <c r="DG32" s="21" t="n"/>
      <c r="DH32" s="21" t="n"/>
      <c r="DI32" s="21" t="n"/>
      <c r="DJ32" s="21" t="n"/>
      <c r="DK32" s="23" t="n"/>
      <c r="DM32" s="21" t="n"/>
      <c r="DN32" s="21" t="n"/>
      <c r="DO32" s="21" t="n"/>
      <c r="DP32" s="21" t="n"/>
      <c r="DQ32" s="21" t="n"/>
      <c r="DR32" s="21" t="n"/>
      <c r="DS32" s="21" t="n"/>
      <c r="DT32" s="21" t="n"/>
      <c r="DU32" s="21" t="n"/>
      <c r="DV32" s="21" t="n"/>
      <c r="DW32" s="21" t="n"/>
      <c r="DX32" s="21" t="n"/>
      <c r="DY32" s="23" t="n"/>
      <c r="EA32" s="21" t="n"/>
      <c r="EB32" s="21" t="n"/>
      <c r="EC32" s="21" t="n"/>
      <c r="ED32" s="21" t="n"/>
      <c r="EE32" s="21" t="n"/>
      <c r="EF32" s="21" t="n"/>
      <c r="EG32" s="21" t="n"/>
      <c r="EH32" s="21" t="n"/>
      <c r="EI32" s="21" t="n"/>
      <c r="EJ32" s="21" t="n"/>
      <c r="EK32" s="21" t="n"/>
      <c r="EL32" s="21" t="n"/>
      <c r="EM32" s="23" t="n"/>
    </row>
    <row r="33">
      <c r="C33" s="20" t="inlineStr">
        <is>
          <t>wi</t>
        </is>
      </c>
      <c r="E33" s="21" t="n"/>
      <c r="F33" s="21" t="n"/>
      <c r="G33" s="21" t="n"/>
      <c r="H33" s="21" t="n"/>
      <c r="I33" s="21" t="n"/>
      <c r="J33" s="21" t="n"/>
      <c r="K33" s="21" t="n"/>
      <c r="L33" s="21" t="n"/>
      <c r="M33" s="21" t="n"/>
      <c r="N33" s="21" t="n"/>
      <c r="O33" s="21" t="n"/>
      <c r="P33" s="21" t="n"/>
      <c r="Q33" s="23">
        <f> SUM(E33:P33)</f>
        <v/>
      </c>
      <c r="S33" s="21" t="n"/>
      <c r="T33" s="21" t="n"/>
      <c r="U33" s="21" t="n"/>
      <c r="V33" s="21" t="n"/>
      <c r="W33" s="21" t="n"/>
      <c r="X33" s="21" t="n"/>
      <c r="Y33" s="21" t="n"/>
      <c r="Z33" s="21" t="n"/>
      <c r="AA33" s="21" t="n"/>
      <c r="AB33" s="21" t="n"/>
      <c r="AC33" s="21" t="n"/>
      <c r="AD33" s="21" t="n"/>
      <c r="AE33" s="23">
        <f> SUM(S33:AD33)</f>
        <v/>
      </c>
      <c r="AG33" s="21" t="n"/>
      <c r="AH33" s="21" t="n"/>
      <c r="AI33" s="21" t="n"/>
      <c r="AJ33" s="21" t="n"/>
      <c r="AK33" s="21" t="n"/>
      <c r="AL33" s="21" t="n"/>
      <c r="AM33" s="21" t="n"/>
      <c r="AN33" s="21" t="n"/>
      <c r="AO33" s="21" t="n"/>
      <c r="AP33" s="21" t="n"/>
      <c r="AQ33" s="21" t="n"/>
      <c r="AR33" s="21" t="n"/>
      <c r="AS33" s="23" t="n"/>
      <c r="AU33" s="21" t="n"/>
      <c r="AV33" s="21" t="n"/>
      <c r="AW33" s="21" t="n"/>
      <c r="AX33" s="21" t="n"/>
      <c r="AY33" s="21" t="n"/>
      <c r="AZ33" s="21" t="n"/>
      <c r="BA33" s="21" t="n"/>
      <c r="BB33" s="21" t="n"/>
      <c r="BC33" s="21" t="n"/>
      <c r="BD33" s="21" t="n"/>
      <c r="BE33" s="21" t="n"/>
      <c r="BF33" s="21" t="n"/>
      <c r="BG33" s="23" t="n"/>
      <c r="BI33" s="21" t="n"/>
      <c r="BJ33" s="21" t="n"/>
      <c r="BK33" s="21" t="n"/>
      <c r="BL33" s="21" t="n"/>
      <c r="BM33" s="21" t="n"/>
      <c r="BN33" s="21" t="n"/>
      <c r="BO33" s="21" t="n"/>
      <c r="BP33" s="21" t="n"/>
      <c r="BQ33" s="21" t="n"/>
      <c r="BR33" s="21" t="n"/>
      <c r="BS33" s="21" t="n"/>
      <c r="BT33" s="21" t="n"/>
      <c r="BU33" s="23" t="n"/>
      <c r="BW33" s="21" t="n"/>
      <c r="BX33" s="21" t="n"/>
      <c r="BY33" s="21" t="n"/>
      <c r="BZ33" s="21" t="n"/>
      <c r="CA33" s="21" t="n"/>
      <c r="CB33" s="21" t="n"/>
      <c r="CC33" s="21" t="n"/>
      <c r="CD33" s="21" t="n"/>
      <c r="CE33" s="21" t="n"/>
      <c r="CF33" s="21" t="n"/>
      <c r="CG33" s="21" t="n"/>
      <c r="CH33" s="21" t="n"/>
      <c r="CI33" s="23" t="n"/>
      <c r="CK33" s="21" t="n"/>
      <c r="CL33" s="21" t="n"/>
      <c r="CM33" s="21" t="n"/>
      <c r="CN33" s="21" t="n"/>
      <c r="CO33" s="21" t="n"/>
      <c r="CP33" s="21" t="n"/>
      <c r="CQ33" s="21" t="n"/>
      <c r="CR33" s="21" t="n"/>
      <c r="CS33" s="21" t="n"/>
      <c r="CT33" s="21" t="n"/>
      <c r="CU33" s="21" t="n"/>
      <c r="CV33" s="21" t="n"/>
      <c r="CW33" s="23" t="n"/>
      <c r="CY33" s="21" t="n"/>
      <c r="CZ33" s="21" t="n"/>
      <c r="DA33" s="21" t="n"/>
      <c r="DB33" s="21" t="n"/>
      <c r="DC33" s="21" t="n"/>
      <c r="DD33" s="21" t="n"/>
      <c r="DE33" s="21" t="n"/>
      <c r="DF33" s="21" t="n"/>
      <c r="DG33" s="21" t="n"/>
      <c r="DH33" s="21" t="n"/>
      <c r="DI33" s="21" t="n"/>
      <c r="DJ33" s="21" t="n"/>
      <c r="DK33" s="23" t="n"/>
      <c r="DM33" s="21" t="n"/>
      <c r="DN33" s="21" t="n"/>
      <c r="DO33" s="21" t="n"/>
      <c r="DP33" s="21" t="n"/>
      <c r="DQ33" s="21" t="n"/>
      <c r="DR33" s="21" t="n"/>
      <c r="DS33" s="21" t="n"/>
      <c r="DT33" s="21" t="n"/>
      <c r="DU33" s="21" t="n"/>
      <c r="DV33" s="21" t="n"/>
      <c r="DW33" s="21" t="n"/>
      <c r="DX33" s="21" t="n"/>
      <c r="DY33" s="23" t="n"/>
      <c r="EA33" s="21" t="n"/>
      <c r="EB33" s="21" t="n"/>
      <c r="EC33" s="21" t="n"/>
      <c r="ED33" s="21" t="n"/>
      <c r="EE33" s="21" t="n"/>
      <c r="EF33" s="21" t="n"/>
      <c r="EG33" s="21" t="n"/>
      <c r="EH33" s="21" t="n"/>
      <c r="EI33" s="21" t="n"/>
      <c r="EJ33" s="21" t="n"/>
      <c r="EK33" s="21" t="n"/>
      <c r="EL33" s="21" t="n"/>
      <c r="EM33" s="23" t="n"/>
    </row>
    <row r="34">
      <c r="C34" s="20" t="inlineStr">
        <is>
          <t>oi</t>
        </is>
      </c>
      <c r="E34" s="21" t="n"/>
      <c r="F34" s="21" t="n"/>
      <c r="G34" s="21" t="n"/>
      <c r="H34" s="21" t="n"/>
      <c r="I34" s="21" t="n"/>
      <c r="J34" s="21" t="n"/>
      <c r="K34" s="21" t="n"/>
      <c r="L34" s="21" t="n"/>
      <c r="M34" s="21" t="n"/>
      <c r="N34" s="21" t="n"/>
      <c r="O34" s="21" t="n"/>
      <c r="P34" s="21" t="n"/>
      <c r="Q34" s="23">
        <f> SUM(E34:P34)</f>
        <v/>
      </c>
      <c r="S34" s="21" t="n"/>
      <c r="T34" s="21" t="n"/>
      <c r="U34" s="21" t="n"/>
      <c r="V34" s="21" t="n"/>
      <c r="W34" s="21" t="n"/>
      <c r="X34" s="21" t="n"/>
      <c r="Y34" s="21" t="n"/>
      <c r="Z34" s="21" t="n"/>
      <c r="AA34" s="21" t="n"/>
      <c r="AB34" s="21" t="n"/>
      <c r="AC34" s="21" t="n"/>
      <c r="AD34" s="21" t="n"/>
      <c r="AE34" s="23">
        <f> SUM(S34:AD34)</f>
        <v/>
      </c>
      <c r="AG34" s="21" t="n"/>
      <c r="AH34" s="21" t="n"/>
      <c r="AI34" s="21" t="n"/>
      <c r="AJ34" s="21" t="n"/>
      <c r="AK34" s="21" t="n"/>
      <c r="AL34" s="21" t="n"/>
      <c r="AM34" s="21" t="n"/>
      <c r="AN34" s="21" t="n"/>
      <c r="AO34" s="21" t="n"/>
      <c r="AP34" s="21" t="n"/>
      <c r="AQ34" s="21" t="n"/>
      <c r="AR34" s="21" t="n"/>
      <c r="AS34" s="23">
        <f> SUM(AG34:AR34)</f>
        <v/>
      </c>
      <c r="AU34" s="21" t="n"/>
      <c r="AV34" s="21" t="n"/>
      <c r="AW34" s="21" t="n"/>
      <c r="AX34" s="21" t="n"/>
      <c r="AY34" s="21" t="n"/>
      <c r="AZ34" s="21" t="n"/>
      <c r="BA34" s="21" t="n"/>
      <c r="BB34" s="21" t="n"/>
      <c r="BC34" s="21" t="n"/>
      <c r="BD34" s="21" t="n"/>
      <c r="BE34" s="21" t="n"/>
      <c r="BF34" s="21" t="n"/>
      <c r="BG34" s="23">
        <f> SUM(AU34:BF34)</f>
        <v/>
      </c>
      <c r="BI34" s="21" t="n"/>
      <c r="BJ34" s="21" t="n"/>
      <c r="BK34" s="21" t="n"/>
      <c r="BL34" s="21" t="n"/>
      <c r="BM34" s="21" t="n"/>
      <c r="BN34" s="21" t="n"/>
      <c r="BO34" s="21" t="n"/>
      <c r="BP34" s="21" t="n"/>
      <c r="BQ34" s="21" t="n"/>
      <c r="BR34" s="21" t="n"/>
      <c r="BS34" s="21" t="n"/>
      <c r="BT34" s="21" t="n"/>
      <c r="BU34" s="23">
        <f> SUM(BI34:BT34)</f>
        <v/>
      </c>
      <c r="BW34" s="21" t="n"/>
      <c r="BX34" s="21" t="n"/>
      <c r="BY34" s="21" t="n"/>
      <c r="BZ34" s="21" t="n"/>
      <c r="CA34" s="21" t="n"/>
      <c r="CB34" s="21" t="n"/>
      <c r="CC34" s="21" t="n"/>
      <c r="CD34" s="21" t="n"/>
      <c r="CE34" s="21" t="n"/>
      <c r="CF34" s="21" t="n"/>
      <c r="CG34" s="21" t="n"/>
      <c r="CH34" s="21" t="n"/>
      <c r="CI34" s="23">
        <f> SUM(BW34:CH34)</f>
        <v/>
      </c>
      <c r="CK34" s="21" t="n"/>
      <c r="CL34" s="21" t="n"/>
      <c r="CM34" s="21" t="n"/>
      <c r="CN34" s="21" t="n"/>
      <c r="CO34" s="21" t="n"/>
      <c r="CP34" s="21" t="n"/>
      <c r="CQ34" s="21" t="n"/>
      <c r="CR34" s="21" t="n"/>
      <c r="CS34" s="21" t="n"/>
      <c r="CT34" s="21" t="n"/>
      <c r="CU34" s="21" t="n"/>
      <c r="CV34" s="21" t="n"/>
      <c r="CW34" s="23">
        <f> SUM(CK34:CV34)</f>
        <v/>
      </c>
      <c r="CY34" s="21" t="n"/>
      <c r="CZ34" s="21" t="n"/>
      <c r="DA34" s="21" t="n"/>
      <c r="DB34" s="21" t="n"/>
      <c r="DC34" s="21" t="n"/>
      <c r="DD34" s="21" t="n"/>
      <c r="DE34" s="21" t="n"/>
      <c r="DF34" s="21" t="n"/>
      <c r="DG34" s="21" t="n"/>
      <c r="DH34" s="21" t="n"/>
      <c r="DI34" s="21" t="n"/>
      <c r="DJ34" s="21" t="n"/>
      <c r="DK34" s="23">
        <f> SUM(CY34:DJ34)</f>
        <v/>
      </c>
      <c r="DM34" s="21" t="n"/>
      <c r="DN34" s="21" t="n"/>
      <c r="DO34" s="21" t="n"/>
      <c r="DP34" s="21" t="n"/>
      <c r="DQ34" s="21" t="n"/>
      <c r="DR34" s="21" t="n"/>
      <c r="DS34" s="21" t="n"/>
      <c r="DT34" s="21" t="n"/>
      <c r="DU34" s="21" t="n"/>
      <c r="DV34" s="21" t="n"/>
      <c r="DW34" s="21" t="n"/>
      <c r="DX34" s="21" t="n"/>
      <c r="DY34" s="23">
        <f> SUM(DM34:DX34)</f>
        <v/>
      </c>
      <c r="EA34" s="21" t="n"/>
      <c r="EB34" s="21" t="n"/>
      <c r="EC34" s="21" t="n"/>
      <c r="ED34" s="21" t="n"/>
      <c r="EE34" s="21" t="n"/>
      <c r="EF34" s="21" t="n"/>
      <c r="EG34" s="21" t="n"/>
      <c r="EH34" s="21" t="n"/>
      <c r="EI34" s="21" t="n"/>
      <c r="EJ34" s="21" t="n"/>
      <c r="EK34" s="21" t="n"/>
      <c r="EL34" s="21" t="n"/>
      <c r="EM34" s="23">
        <f> SUM(EA34:EL34)</f>
        <v/>
      </c>
    </row>
    <row r="35" hidden="1">
      <c r="C35" s="20" t="n"/>
      <c r="E35" s="21" t="n"/>
      <c r="F35" s="21" t="n"/>
      <c r="G35" s="21" t="n"/>
      <c r="H35" s="21" t="n"/>
      <c r="I35" s="21" t="n"/>
      <c r="J35" s="21" t="n"/>
      <c r="K35" s="21" t="n"/>
      <c r="L35" s="21" t="n"/>
      <c r="M35" s="21" t="n"/>
      <c r="N35" s="21" t="n"/>
      <c r="O35" s="21" t="n"/>
      <c r="P35" s="21" t="n"/>
      <c r="Q35" s="23">
        <f> SUM(E35:P35)</f>
        <v/>
      </c>
      <c r="S35" s="21" t="n"/>
      <c r="T35" s="21" t="n"/>
      <c r="U35" s="21" t="n"/>
      <c r="V35" s="21" t="n"/>
      <c r="W35" s="21" t="n"/>
      <c r="X35" s="21" t="n"/>
      <c r="Y35" s="21" t="n"/>
      <c r="Z35" s="21" t="n"/>
      <c r="AA35" s="21" t="n"/>
      <c r="AB35" s="21" t="n"/>
      <c r="AC35" s="21" t="n"/>
      <c r="AD35" s="21" t="n"/>
      <c r="AE35" s="23">
        <f> SUM(S35:AD35)</f>
        <v/>
      </c>
      <c r="AG35" s="21" t="n"/>
      <c r="AH35" s="21" t="n"/>
      <c r="AI35" s="21" t="n"/>
      <c r="AJ35" s="21" t="n"/>
      <c r="AK35" s="21" t="n"/>
      <c r="AL35" s="21" t="n"/>
      <c r="AM35" s="21" t="n"/>
      <c r="AN35" s="21" t="n"/>
      <c r="AO35" s="21" t="n"/>
      <c r="AP35" s="21" t="n"/>
      <c r="AQ35" s="21" t="n"/>
      <c r="AR35" s="21" t="n"/>
      <c r="AS35" s="23">
        <f> SUM(AG35:AR35)</f>
        <v/>
      </c>
      <c r="AU35" s="21" t="n"/>
      <c r="AV35" s="21" t="n"/>
      <c r="AW35" s="21" t="n"/>
      <c r="AX35" s="21" t="n"/>
      <c r="AY35" s="21" t="n"/>
      <c r="AZ35" s="21" t="n"/>
      <c r="BA35" s="21" t="n"/>
      <c r="BB35" s="21" t="n"/>
      <c r="BC35" s="21" t="n"/>
      <c r="BD35" s="21" t="n"/>
      <c r="BE35" s="21" t="n"/>
      <c r="BF35" s="21" t="n"/>
      <c r="BG35" s="23">
        <f> SUM(AU35:BF35)</f>
        <v/>
      </c>
      <c r="BI35" s="21" t="n"/>
      <c r="BJ35" s="21" t="n"/>
      <c r="BK35" s="21" t="n"/>
      <c r="BL35" s="21" t="n"/>
      <c r="BM35" s="21" t="n"/>
      <c r="BN35" s="21" t="n"/>
      <c r="BO35" s="21" t="n"/>
      <c r="BP35" s="21" t="n"/>
      <c r="BQ35" s="21" t="n"/>
      <c r="BR35" s="21" t="n"/>
      <c r="BS35" s="21" t="n"/>
      <c r="BT35" s="21" t="n"/>
      <c r="BU35" s="23">
        <f> SUM(BI35:BT35)</f>
        <v/>
      </c>
      <c r="BW35" s="21" t="n"/>
      <c r="BX35" s="21" t="n"/>
      <c r="BY35" s="21" t="n"/>
      <c r="BZ35" s="21" t="n"/>
      <c r="CA35" s="21" t="n"/>
      <c r="CB35" s="21" t="n"/>
      <c r="CC35" s="21" t="n"/>
      <c r="CD35" s="21" t="n"/>
      <c r="CE35" s="21" t="n"/>
      <c r="CF35" s="21" t="n"/>
      <c r="CG35" s="21" t="n"/>
      <c r="CH35" s="21" t="n"/>
      <c r="CI35" s="23">
        <f> SUM(BW35:CH35)</f>
        <v/>
      </c>
      <c r="CK35" s="21" t="n"/>
      <c r="CL35" s="21" t="n"/>
      <c r="CM35" s="21" t="n"/>
      <c r="CN35" s="21" t="n"/>
      <c r="CO35" s="21" t="n"/>
      <c r="CP35" s="21" t="n"/>
      <c r="CQ35" s="21" t="n"/>
      <c r="CR35" s="21" t="n"/>
      <c r="CS35" s="21" t="n"/>
      <c r="CT35" s="21" t="n"/>
      <c r="CU35" s="21" t="n"/>
      <c r="CV35" s="21" t="n"/>
      <c r="CW35" s="23">
        <f> SUM(CK35:CV35)</f>
        <v/>
      </c>
      <c r="CY35" s="21" t="n"/>
      <c r="CZ35" s="21" t="n"/>
      <c r="DA35" s="21" t="n"/>
      <c r="DB35" s="21" t="n"/>
      <c r="DC35" s="21" t="n"/>
      <c r="DD35" s="21" t="n"/>
      <c r="DE35" s="21" t="n"/>
      <c r="DF35" s="21" t="n"/>
      <c r="DG35" s="21" t="n"/>
      <c r="DH35" s="21" t="n"/>
      <c r="DI35" s="21" t="n"/>
      <c r="DJ35" s="21" t="n"/>
      <c r="DK35" s="23">
        <f> SUM(CY35:DJ35)</f>
        <v/>
      </c>
      <c r="DM35" s="21" t="n"/>
      <c r="DN35" s="21" t="n"/>
      <c r="DO35" s="21" t="n"/>
      <c r="DP35" s="21" t="n"/>
      <c r="DQ35" s="21" t="n"/>
      <c r="DR35" s="21" t="n"/>
      <c r="DS35" s="21" t="n"/>
      <c r="DT35" s="21" t="n"/>
      <c r="DU35" s="21" t="n"/>
      <c r="DV35" s="21" t="n"/>
      <c r="DW35" s="21" t="n"/>
      <c r="DX35" s="21" t="n"/>
      <c r="DY35" s="23">
        <f> SUM(DM35:DX35)</f>
        <v/>
      </c>
      <c r="EA35" s="21" t="n"/>
      <c r="EB35" s="21" t="n"/>
      <c r="EC35" s="21" t="n"/>
      <c r="ED35" s="21" t="n"/>
      <c r="EE35" s="21" t="n"/>
      <c r="EF35" s="21" t="n"/>
      <c r="EG35" s="21" t="n"/>
      <c r="EH35" s="21" t="n"/>
      <c r="EI35" s="21" t="n"/>
      <c r="EJ35" s="21" t="n"/>
      <c r="EK35" s="21" t="n"/>
      <c r="EL35" s="21" t="n"/>
      <c r="EM35" s="23">
        <f> SUM(EA35:EL35)</f>
        <v/>
      </c>
    </row>
    <row r="36" hidden="1">
      <c r="C36" s="20" t="n"/>
      <c r="E36" s="21" t="n"/>
      <c r="F36" s="21" t="n"/>
      <c r="G36" s="21" t="n"/>
      <c r="H36" s="21" t="n"/>
      <c r="I36" s="21" t="n"/>
      <c r="J36" s="21" t="n"/>
      <c r="K36" s="21" t="n"/>
      <c r="L36" s="21" t="n"/>
      <c r="M36" s="21" t="n"/>
      <c r="N36" s="21" t="n"/>
      <c r="O36" s="21" t="n"/>
      <c r="P36" s="21" t="n"/>
      <c r="Q36" s="23">
        <f> SUM(E36:P36)</f>
        <v/>
      </c>
      <c r="S36" s="21" t="n"/>
      <c r="T36" s="21" t="n"/>
      <c r="U36" s="21" t="n"/>
      <c r="V36" s="21" t="n"/>
      <c r="W36" s="21" t="n"/>
      <c r="X36" s="21" t="n"/>
      <c r="Y36" s="21" t="n"/>
      <c r="Z36" s="21" t="n"/>
      <c r="AA36" s="21" t="n"/>
      <c r="AB36" s="21" t="n"/>
      <c r="AC36" s="21" t="n"/>
      <c r="AD36" s="21" t="n"/>
      <c r="AE36" s="23">
        <f> SUM(S36:AD36)</f>
        <v/>
      </c>
      <c r="AG36" s="21" t="n"/>
      <c r="AH36" s="21" t="n"/>
      <c r="AI36" s="21" t="n"/>
      <c r="AJ36" s="21" t="n"/>
      <c r="AK36" s="21" t="n"/>
      <c r="AL36" s="21" t="n"/>
      <c r="AM36" s="21" t="n"/>
      <c r="AN36" s="21" t="n"/>
      <c r="AO36" s="21" t="n"/>
      <c r="AP36" s="21" t="n"/>
      <c r="AQ36" s="21" t="n"/>
      <c r="AR36" s="21" t="n"/>
      <c r="AS36" s="23" t="n"/>
      <c r="AU36" s="21" t="n"/>
      <c r="AV36" s="21" t="n"/>
      <c r="AW36" s="21" t="n"/>
      <c r="AX36" s="21" t="n"/>
      <c r="AY36" s="21" t="n"/>
      <c r="AZ36" s="21" t="n"/>
      <c r="BA36" s="21" t="n"/>
      <c r="BB36" s="21" t="n"/>
      <c r="BC36" s="21" t="n"/>
      <c r="BD36" s="21" t="n"/>
      <c r="BE36" s="21" t="n"/>
      <c r="BF36" s="21" t="n"/>
      <c r="BG36" s="23" t="n"/>
      <c r="BI36" s="21" t="n"/>
      <c r="BJ36" s="21" t="n"/>
      <c r="BK36" s="21" t="n"/>
      <c r="BL36" s="21" t="n"/>
      <c r="BM36" s="21" t="n"/>
      <c r="BN36" s="21" t="n"/>
      <c r="BO36" s="21" t="n"/>
      <c r="BP36" s="21" t="n"/>
      <c r="BQ36" s="21" t="n"/>
      <c r="BR36" s="21" t="n"/>
      <c r="BS36" s="21" t="n"/>
      <c r="BT36" s="21" t="n"/>
      <c r="BU36" s="23" t="n"/>
      <c r="BW36" s="21" t="n"/>
      <c r="BX36" s="21" t="n"/>
      <c r="BY36" s="21" t="n"/>
      <c r="BZ36" s="21" t="n"/>
      <c r="CA36" s="21" t="n"/>
      <c r="CB36" s="21" t="n"/>
      <c r="CC36" s="21" t="n"/>
      <c r="CD36" s="21" t="n"/>
      <c r="CE36" s="21" t="n"/>
      <c r="CF36" s="21" t="n"/>
      <c r="CG36" s="21" t="n"/>
      <c r="CH36" s="21" t="n"/>
      <c r="CI36" s="23" t="n"/>
      <c r="CK36" s="21" t="n"/>
      <c r="CL36" s="21" t="n"/>
      <c r="CM36" s="21" t="n"/>
      <c r="CN36" s="21" t="n"/>
      <c r="CO36" s="21" t="n"/>
      <c r="CP36" s="21" t="n"/>
      <c r="CQ36" s="21" t="n"/>
      <c r="CR36" s="21" t="n"/>
      <c r="CS36" s="21" t="n"/>
      <c r="CT36" s="21" t="n"/>
      <c r="CU36" s="21" t="n"/>
      <c r="CV36" s="21" t="n"/>
      <c r="CW36" s="23" t="n"/>
      <c r="CY36" s="21" t="n"/>
      <c r="CZ36" s="21" t="n"/>
      <c r="DA36" s="21" t="n"/>
      <c r="DB36" s="21" t="n"/>
      <c r="DC36" s="21" t="n"/>
      <c r="DD36" s="21" t="n"/>
      <c r="DE36" s="21" t="n"/>
      <c r="DF36" s="21" t="n"/>
      <c r="DG36" s="21" t="n"/>
      <c r="DH36" s="21" t="n"/>
      <c r="DI36" s="21" t="n"/>
      <c r="DJ36" s="21" t="n"/>
      <c r="DK36" s="23" t="n"/>
      <c r="DM36" s="21" t="n"/>
      <c r="DN36" s="21" t="n"/>
      <c r="DO36" s="21" t="n"/>
      <c r="DP36" s="21" t="n"/>
      <c r="DQ36" s="21" t="n"/>
      <c r="DR36" s="21" t="n"/>
      <c r="DS36" s="21" t="n"/>
      <c r="DT36" s="21" t="n"/>
      <c r="DU36" s="21" t="n"/>
      <c r="DV36" s="21" t="n"/>
      <c r="DW36" s="21" t="n"/>
      <c r="DX36" s="21" t="n"/>
      <c r="DY36" s="23" t="n"/>
      <c r="EA36" s="21" t="n"/>
      <c r="EB36" s="21" t="n"/>
      <c r="EC36" s="21" t="n"/>
      <c r="ED36" s="21" t="n"/>
      <c r="EE36" s="21" t="n"/>
      <c r="EF36" s="21" t="n"/>
      <c r="EG36" s="21" t="n"/>
      <c r="EH36" s="21" t="n"/>
      <c r="EI36" s="21" t="n"/>
      <c r="EJ36" s="21" t="n"/>
      <c r="EK36" s="21" t="n"/>
      <c r="EL36" s="21" t="n"/>
      <c r="EM36" s="23" t="n"/>
    </row>
    <row r="37" hidden="1">
      <c r="C37" s="20" t="n"/>
      <c r="E37" s="21" t="n"/>
      <c r="F37" s="21" t="n"/>
      <c r="G37" s="21" t="n"/>
      <c r="H37" s="21" t="n"/>
      <c r="I37" s="21" t="n"/>
      <c r="J37" s="21" t="n"/>
      <c r="K37" s="21" t="n"/>
      <c r="L37" s="21" t="n"/>
      <c r="M37" s="21" t="n"/>
      <c r="N37" s="21" t="n"/>
      <c r="O37" s="21" t="n"/>
      <c r="P37" s="21" t="n"/>
      <c r="Q37" s="23">
        <f> SUM(E37:P37)</f>
        <v/>
      </c>
      <c r="S37" s="21" t="n"/>
      <c r="T37" s="21" t="n"/>
      <c r="U37" s="21" t="n"/>
      <c r="V37" s="21" t="n"/>
      <c r="W37" s="21" t="n"/>
      <c r="X37" s="21" t="n"/>
      <c r="Y37" s="21" t="n"/>
      <c r="Z37" s="21" t="n"/>
      <c r="AA37" s="21" t="n"/>
      <c r="AB37" s="21" t="n"/>
      <c r="AC37" s="21" t="n"/>
      <c r="AD37" s="21" t="n"/>
      <c r="AE37" s="23">
        <f> SUM(S37:AD37)</f>
        <v/>
      </c>
      <c r="AG37" s="21" t="n"/>
      <c r="AH37" s="21" t="n"/>
      <c r="AI37" s="21" t="n"/>
      <c r="AJ37" s="21" t="n"/>
      <c r="AK37" s="21" t="n"/>
      <c r="AL37" s="21" t="n"/>
      <c r="AM37" s="21" t="n"/>
      <c r="AN37" s="21" t="n"/>
      <c r="AO37" s="21" t="n"/>
      <c r="AP37" s="21" t="n"/>
      <c r="AQ37" s="21" t="n"/>
      <c r="AR37" s="21" t="n"/>
      <c r="AS37" s="23">
        <f> SUM(AG37:AR37)</f>
        <v/>
      </c>
      <c r="AU37" s="21" t="n"/>
      <c r="AV37" s="21" t="n"/>
      <c r="AW37" s="21" t="n"/>
      <c r="AX37" s="21" t="n"/>
      <c r="AY37" s="21" t="n"/>
      <c r="AZ37" s="21" t="n"/>
      <c r="BA37" s="21" t="n"/>
      <c r="BB37" s="21" t="n"/>
      <c r="BC37" s="21" t="n"/>
      <c r="BD37" s="21" t="n"/>
      <c r="BE37" s="21" t="n"/>
      <c r="BF37" s="21" t="n"/>
      <c r="BG37" s="23">
        <f> SUM(AU37:BF37)</f>
        <v/>
      </c>
      <c r="BI37" s="21" t="n"/>
      <c r="BJ37" s="21" t="n"/>
      <c r="BK37" s="21" t="n"/>
      <c r="BL37" s="21" t="n"/>
      <c r="BM37" s="21" t="n"/>
      <c r="BN37" s="21" t="n"/>
      <c r="BO37" s="21" t="n"/>
      <c r="BP37" s="21" t="n"/>
      <c r="BQ37" s="21" t="n"/>
      <c r="BR37" s="21" t="n"/>
      <c r="BS37" s="21" t="n"/>
      <c r="BT37" s="21" t="n"/>
      <c r="BU37" s="23">
        <f> SUM(BI37:BT37)</f>
        <v/>
      </c>
      <c r="BW37" s="21" t="n"/>
      <c r="BX37" s="21" t="n"/>
      <c r="BY37" s="21" t="n"/>
      <c r="BZ37" s="21" t="n"/>
      <c r="CA37" s="21" t="n"/>
      <c r="CB37" s="21" t="n"/>
      <c r="CC37" s="21" t="n"/>
      <c r="CD37" s="21" t="n"/>
      <c r="CE37" s="21" t="n"/>
      <c r="CF37" s="21" t="n"/>
      <c r="CG37" s="21" t="n"/>
      <c r="CH37" s="21" t="n"/>
      <c r="CI37" s="23">
        <f> SUM(BW37:CH37)</f>
        <v/>
      </c>
      <c r="CK37" s="21" t="n"/>
      <c r="CL37" s="21" t="n"/>
      <c r="CM37" s="21" t="n"/>
      <c r="CN37" s="21" t="n"/>
      <c r="CO37" s="21" t="n"/>
      <c r="CP37" s="21" t="n"/>
      <c r="CQ37" s="21" t="n"/>
      <c r="CR37" s="21" t="n"/>
      <c r="CS37" s="21" t="n"/>
      <c r="CT37" s="21" t="n"/>
      <c r="CU37" s="21" t="n"/>
      <c r="CV37" s="21" t="n"/>
      <c r="CW37" s="23">
        <f> SUM(CK37:CV37)</f>
        <v/>
      </c>
      <c r="CY37" s="21" t="n"/>
      <c r="CZ37" s="21" t="n"/>
      <c r="DA37" s="21" t="n"/>
      <c r="DB37" s="21" t="n"/>
      <c r="DC37" s="21" t="n"/>
      <c r="DD37" s="21" t="n"/>
      <c r="DE37" s="21" t="n"/>
      <c r="DF37" s="21" t="n"/>
      <c r="DG37" s="21" t="n"/>
      <c r="DH37" s="21" t="n"/>
      <c r="DI37" s="21" t="n"/>
      <c r="DJ37" s="21" t="n"/>
      <c r="DK37" s="23">
        <f> SUM(CY37:DJ37)</f>
        <v/>
      </c>
      <c r="DM37" s="21" t="n"/>
      <c r="DN37" s="21" t="n"/>
      <c r="DO37" s="21" t="n"/>
      <c r="DP37" s="21" t="n"/>
      <c r="DQ37" s="21" t="n"/>
      <c r="DR37" s="21" t="n"/>
      <c r="DS37" s="21" t="n"/>
      <c r="DT37" s="21" t="n"/>
      <c r="DU37" s="21" t="n"/>
      <c r="DV37" s="21" t="n"/>
      <c r="DW37" s="21" t="n"/>
      <c r="DX37" s="21" t="n"/>
      <c r="DY37" s="23">
        <f> SUM(DM37:DX37)</f>
        <v/>
      </c>
      <c r="EA37" s="21" t="n"/>
      <c r="EB37" s="21" t="n"/>
      <c r="EC37" s="21" t="n"/>
      <c r="ED37" s="21" t="n"/>
      <c r="EE37" s="21" t="n"/>
      <c r="EF37" s="21" t="n"/>
      <c r="EG37" s="21" t="n"/>
      <c r="EH37" s="21" t="n"/>
      <c r="EI37" s="21" t="n"/>
      <c r="EJ37" s="21" t="n"/>
      <c r="EK37" s="21" t="n"/>
      <c r="EL37" s="21" t="n"/>
      <c r="EM37" s="23">
        <f> SUM(EA37:EL37)</f>
        <v/>
      </c>
    </row>
    <row r="38" hidden="1">
      <c r="C38" s="20" t="n"/>
      <c r="E38" s="21" t="n"/>
      <c r="F38" s="21" t="n"/>
      <c r="G38" s="21" t="n"/>
      <c r="H38" s="21" t="n"/>
      <c r="I38" s="21" t="n"/>
      <c r="J38" s="21" t="n"/>
      <c r="K38" s="21" t="n"/>
      <c r="L38" s="21" t="n"/>
      <c r="M38" s="21" t="n"/>
      <c r="N38" s="21" t="n"/>
      <c r="O38" s="21" t="n"/>
      <c r="P38" s="21" t="n"/>
      <c r="Q38" s="23">
        <f> SUM(E38:P38)</f>
        <v/>
      </c>
      <c r="S38" s="21" t="n"/>
      <c r="T38" s="21" t="n"/>
      <c r="U38" s="21" t="n"/>
      <c r="V38" s="21" t="n"/>
      <c r="W38" s="21" t="n"/>
      <c r="X38" s="21" t="n"/>
      <c r="Y38" s="21" t="n"/>
      <c r="Z38" s="21" t="n"/>
      <c r="AA38" s="21" t="n"/>
      <c r="AB38" s="21" t="n"/>
      <c r="AC38" s="21" t="n"/>
      <c r="AD38" s="21" t="n"/>
      <c r="AE38" s="23">
        <f> SUM(S38:AD38)</f>
        <v/>
      </c>
      <c r="AG38" s="21" t="n"/>
      <c r="AH38" s="21" t="n"/>
      <c r="AI38" s="21" t="n"/>
      <c r="AJ38" s="21" t="n"/>
      <c r="AK38" s="21" t="n"/>
      <c r="AL38" s="21" t="n"/>
      <c r="AM38" s="21" t="n"/>
      <c r="AN38" s="21" t="n"/>
      <c r="AO38" s="21" t="n"/>
      <c r="AP38" s="21" t="n"/>
      <c r="AQ38" s="21" t="n"/>
      <c r="AR38" s="21" t="n"/>
      <c r="AS38" s="23" t="n"/>
      <c r="AU38" s="21" t="n"/>
      <c r="AV38" s="21" t="n"/>
      <c r="AW38" s="21" t="n"/>
      <c r="AX38" s="21" t="n"/>
      <c r="AY38" s="21" t="n"/>
      <c r="AZ38" s="21" t="n"/>
      <c r="BA38" s="21" t="n"/>
      <c r="BB38" s="21" t="n"/>
      <c r="BC38" s="21" t="n"/>
      <c r="BD38" s="21" t="n"/>
      <c r="BE38" s="21" t="n"/>
      <c r="BF38" s="21" t="n"/>
      <c r="BG38" s="23" t="n"/>
      <c r="BI38" s="21" t="n"/>
      <c r="BJ38" s="21" t="n"/>
      <c r="BK38" s="21" t="n"/>
      <c r="BL38" s="21" t="n"/>
      <c r="BM38" s="21" t="n"/>
      <c r="BN38" s="21" t="n"/>
      <c r="BO38" s="21" t="n"/>
      <c r="BP38" s="21" t="n"/>
      <c r="BQ38" s="21" t="n"/>
      <c r="BR38" s="21" t="n"/>
      <c r="BS38" s="21" t="n"/>
      <c r="BT38" s="21" t="n"/>
      <c r="BU38" s="23" t="n"/>
      <c r="BW38" s="21" t="n"/>
      <c r="BX38" s="21" t="n"/>
      <c r="BY38" s="21" t="n"/>
      <c r="BZ38" s="21" t="n"/>
      <c r="CA38" s="21" t="n"/>
      <c r="CB38" s="21" t="n"/>
      <c r="CC38" s="21" t="n"/>
      <c r="CD38" s="21" t="n"/>
      <c r="CE38" s="21" t="n"/>
      <c r="CF38" s="21" t="n"/>
      <c r="CG38" s="21" t="n"/>
      <c r="CH38" s="21" t="n"/>
      <c r="CI38" s="23" t="n"/>
      <c r="CK38" s="21" t="n"/>
      <c r="CL38" s="21" t="n"/>
      <c r="CM38" s="21" t="n"/>
      <c r="CN38" s="21" t="n"/>
      <c r="CO38" s="21" t="n"/>
      <c r="CP38" s="21" t="n"/>
      <c r="CQ38" s="21" t="n"/>
      <c r="CR38" s="21" t="n"/>
      <c r="CS38" s="21" t="n"/>
      <c r="CT38" s="21" t="n"/>
      <c r="CU38" s="21" t="n"/>
      <c r="CV38" s="21" t="n"/>
      <c r="CW38" s="23" t="n"/>
      <c r="CY38" s="21" t="n"/>
      <c r="CZ38" s="21" t="n"/>
      <c r="DA38" s="21" t="n"/>
      <c r="DB38" s="21" t="n"/>
      <c r="DC38" s="21" t="n"/>
      <c r="DD38" s="21" t="n"/>
      <c r="DE38" s="21" t="n"/>
      <c r="DF38" s="21" t="n"/>
      <c r="DG38" s="21" t="n"/>
      <c r="DH38" s="21" t="n"/>
      <c r="DI38" s="21" t="n"/>
      <c r="DJ38" s="21" t="n"/>
      <c r="DK38" s="23" t="n"/>
      <c r="DM38" s="21" t="n"/>
      <c r="DN38" s="21" t="n"/>
      <c r="DO38" s="21" t="n"/>
      <c r="DP38" s="21" t="n"/>
      <c r="DQ38" s="21" t="n"/>
      <c r="DR38" s="21" t="n"/>
      <c r="DS38" s="21" t="n"/>
      <c r="DT38" s="21" t="n"/>
      <c r="DU38" s="21" t="n"/>
      <c r="DV38" s="21" t="n"/>
      <c r="DW38" s="21" t="n"/>
      <c r="DX38" s="21" t="n"/>
      <c r="DY38" s="23" t="n"/>
      <c r="EA38" s="21" t="n"/>
      <c r="EB38" s="21" t="n"/>
      <c r="EC38" s="21" t="n"/>
      <c r="ED38" s="21" t="n"/>
      <c r="EE38" s="21" t="n"/>
      <c r="EF38" s="21" t="n"/>
      <c r="EG38" s="21" t="n"/>
      <c r="EH38" s="21" t="n"/>
      <c r="EI38" s="21" t="n"/>
      <c r="EJ38" s="21" t="n"/>
      <c r="EK38" s="21" t="n"/>
      <c r="EL38" s="21" t="n"/>
      <c r="EM38" s="23" t="n"/>
    </row>
    <row r="39" hidden="1">
      <c r="C39" s="20" t="n"/>
      <c r="E39" s="21" t="n"/>
      <c r="F39" s="21" t="n"/>
      <c r="G39" s="21" t="n"/>
      <c r="H39" s="21" t="n"/>
      <c r="I39" s="21" t="n"/>
      <c r="J39" s="21" t="n"/>
      <c r="K39" s="21" t="n"/>
      <c r="L39" s="21" t="n"/>
      <c r="M39" s="21" t="n"/>
      <c r="N39" s="21" t="n"/>
      <c r="O39" s="21" t="n"/>
      <c r="P39" s="21" t="n"/>
      <c r="Q39" s="23">
        <f> SUM(E39:P39)</f>
        <v/>
      </c>
      <c r="S39" s="21" t="n"/>
      <c r="T39" s="21" t="n"/>
      <c r="U39" s="21" t="n"/>
      <c r="V39" s="21" t="n"/>
      <c r="W39" s="21" t="n"/>
      <c r="X39" s="21" t="n"/>
      <c r="Y39" s="21" t="n"/>
      <c r="Z39" s="21" t="n"/>
      <c r="AA39" s="21" t="n"/>
      <c r="AB39" s="21" t="n"/>
      <c r="AC39" s="21" t="n"/>
      <c r="AD39" s="21" t="n"/>
      <c r="AE39" s="23">
        <f> SUM(S39:AD39)</f>
        <v/>
      </c>
      <c r="AG39" s="21" t="n"/>
      <c r="AH39" s="21" t="n"/>
      <c r="AI39" s="21" t="n"/>
      <c r="AJ39" s="21" t="n"/>
      <c r="AK39" s="21" t="n"/>
      <c r="AL39" s="21" t="n"/>
      <c r="AM39" s="21" t="n"/>
      <c r="AN39" s="21" t="n"/>
      <c r="AO39" s="21" t="n"/>
      <c r="AP39" s="21" t="n"/>
      <c r="AQ39" s="21" t="n"/>
      <c r="AR39" s="21" t="n"/>
      <c r="AS39" s="23" t="n"/>
      <c r="AU39" s="21" t="n"/>
      <c r="AV39" s="21" t="n"/>
      <c r="AW39" s="21" t="n"/>
      <c r="AX39" s="21" t="n"/>
      <c r="AY39" s="21" t="n"/>
      <c r="AZ39" s="21" t="n"/>
      <c r="BA39" s="21" t="n"/>
      <c r="BB39" s="21" t="n"/>
      <c r="BC39" s="21" t="n"/>
      <c r="BD39" s="21" t="n"/>
      <c r="BE39" s="21" t="n"/>
      <c r="BF39" s="21" t="n"/>
      <c r="BG39" s="23" t="n"/>
      <c r="BI39" s="21" t="n"/>
      <c r="BJ39" s="21" t="n"/>
      <c r="BK39" s="21" t="n"/>
      <c r="BL39" s="21" t="n"/>
      <c r="BM39" s="21" t="n"/>
      <c r="BN39" s="21" t="n"/>
      <c r="BO39" s="21" t="n"/>
      <c r="BP39" s="21" t="n"/>
      <c r="BQ39" s="21" t="n"/>
      <c r="BR39" s="21" t="n"/>
      <c r="BS39" s="21" t="n"/>
      <c r="BT39" s="21" t="n"/>
      <c r="BU39" s="23" t="n"/>
      <c r="BW39" s="21" t="n"/>
      <c r="BX39" s="21" t="n"/>
      <c r="BY39" s="21" t="n"/>
      <c r="BZ39" s="21" t="n"/>
      <c r="CA39" s="21" t="n"/>
      <c r="CB39" s="21" t="n"/>
      <c r="CC39" s="21" t="n"/>
      <c r="CD39" s="21" t="n"/>
      <c r="CE39" s="21" t="n"/>
      <c r="CF39" s="21" t="n"/>
      <c r="CG39" s="21" t="n"/>
      <c r="CH39" s="21" t="n"/>
      <c r="CI39" s="23" t="n"/>
      <c r="CK39" s="21" t="n"/>
      <c r="CL39" s="21" t="n"/>
      <c r="CM39" s="21" t="n"/>
      <c r="CN39" s="21" t="n"/>
      <c r="CO39" s="21" t="n"/>
      <c r="CP39" s="21" t="n"/>
      <c r="CQ39" s="21" t="n"/>
      <c r="CR39" s="21" t="n"/>
      <c r="CS39" s="21" t="n"/>
      <c r="CT39" s="21" t="n"/>
      <c r="CU39" s="21" t="n"/>
      <c r="CV39" s="21" t="n"/>
      <c r="CW39" s="23" t="n"/>
      <c r="CY39" s="21" t="n"/>
      <c r="CZ39" s="21" t="n"/>
      <c r="DA39" s="21" t="n"/>
      <c r="DB39" s="21" t="n"/>
      <c r="DC39" s="21" t="n"/>
      <c r="DD39" s="21" t="n"/>
      <c r="DE39" s="21" t="n"/>
      <c r="DF39" s="21" t="n"/>
      <c r="DG39" s="21" t="n"/>
      <c r="DH39" s="21" t="n"/>
      <c r="DI39" s="21" t="n"/>
      <c r="DJ39" s="21" t="n"/>
      <c r="DK39" s="23" t="n"/>
      <c r="DM39" s="21" t="n"/>
      <c r="DN39" s="21" t="n"/>
      <c r="DO39" s="21" t="n"/>
      <c r="DP39" s="21" t="n"/>
      <c r="DQ39" s="21" t="n"/>
      <c r="DR39" s="21" t="n"/>
      <c r="DS39" s="21" t="n"/>
      <c r="DT39" s="21" t="n"/>
      <c r="DU39" s="21" t="n"/>
      <c r="DV39" s="21" t="n"/>
      <c r="DW39" s="21" t="n"/>
      <c r="DX39" s="21" t="n"/>
      <c r="DY39" s="23" t="n"/>
      <c r="EA39" s="21" t="n"/>
      <c r="EB39" s="21" t="n"/>
      <c r="EC39" s="21" t="n"/>
      <c r="ED39" s="21" t="n"/>
      <c r="EE39" s="21" t="n"/>
      <c r="EF39" s="21" t="n"/>
      <c r="EG39" s="21" t="n"/>
      <c r="EH39" s="21" t="n"/>
      <c r="EI39" s="21" t="n"/>
      <c r="EJ39" s="21" t="n"/>
      <c r="EK39" s="21" t="n"/>
      <c r="EL39" s="21" t="n"/>
      <c r="EM39" s="23" t="n"/>
    </row>
    <row r="40" hidden="1">
      <c r="C40" s="20" t="n"/>
      <c r="E40" s="21" t="n"/>
      <c r="F40" s="21" t="n"/>
      <c r="G40" s="21" t="n"/>
      <c r="H40" s="21" t="n"/>
      <c r="I40" s="21" t="n"/>
      <c r="J40" s="21" t="n"/>
      <c r="K40" s="21" t="n"/>
      <c r="L40" s="21" t="n"/>
      <c r="M40" s="21" t="n"/>
      <c r="N40" s="21" t="n"/>
      <c r="O40" s="21" t="n"/>
      <c r="P40" s="21" t="n"/>
      <c r="Q40" s="23">
        <f> SUM(E40:P40)</f>
        <v/>
      </c>
      <c r="S40" s="21" t="n"/>
      <c r="T40" s="21" t="n"/>
      <c r="U40" s="21" t="n"/>
      <c r="V40" s="21" t="n"/>
      <c r="W40" s="21" t="n"/>
      <c r="X40" s="21" t="n"/>
      <c r="Y40" s="21" t="n"/>
      <c r="Z40" s="21" t="n"/>
      <c r="AA40" s="21" t="n"/>
      <c r="AB40" s="21" t="n"/>
      <c r="AC40" s="21" t="n"/>
      <c r="AD40" s="21" t="n"/>
      <c r="AE40" s="23">
        <f> SUM(S40:AD40)</f>
        <v/>
      </c>
      <c r="AG40" s="21" t="n"/>
      <c r="AH40" s="21" t="n"/>
      <c r="AI40" s="21" t="n"/>
      <c r="AJ40" s="21" t="n"/>
      <c r="AK40" s="21" t="n"/>
      <c r="AL40" s="21" t="n"/>
      <c r="AM40" s="21" t="n"/>
      <c r="AN40" s="21" t="n"/>
      <c r="AO40" s="21" t="n"/>
      <c r="AP40" s="21" t="n"/>
      <c r="AQ40" s="21" t="n"/>
      <c r="AR40" s="21" t="n"/>
      <c r="AS40" s="23" t="n"/>
      <c r="AU40" s="21" t="n"/>
      <c r="AV40" s="21" t="n"/>
      <c r="AW40" s="21" t="n"/>
      <c r="AX40" s="21" t="n"/>
      <c r="AY40" s="21" t="n"/>
      <c r="AZ40" s="21" t="n"/>
      <c r="BA40" s="21" t="n"/>
      <c r="BB40" s="21" t="n"/>
      <c r="BC40" s="21" t="n"/>
      <c r="BD40" s="21" t="n"/>
      <c r="BE40" s="21" t="n"/>
      <c r="BF40" s="21" t="n"/>
      <c r="BG40" s="23" t="n"/>
      <c r="BI40" s="21" t="n"/>
      <c r="BJ40" s="21" t="n"/>
      <c r="BK40" s="21" t="n"/>
      <c r="BL40" s="21" t="n"/>
      <c r="BM40" s="21" t="n"/>
      <c r="BN40" s="21" t="n"/>
      <c r="BO40" s="21" t="n"/>
      <c r="BP40" s="21" t="n"/>
      <c r="BQ40" s="21" t="n"/>
      <c r="BR40" s="21" t="n"/>
      <c r="BS40" s="21" t="n"/>
      <c r="BT40" s="21" t="n"/>
      <c r="BU40" s="23" t="n"/>
      <c r="BW40" s="21" t="n"/>
      <c r="BX40" s="21" t="n"/>
      <c r="BY40" s="21" t="n"/>
      <c r="BZ40" s="21" t="n"/>
      <c r="CA40" s="21" t="n"/>
      <c r="CB40" s="21" t="n"/>
      <c r="CC40" s="21" t="n"/>
      <c r="CD40" s="21" t="n"/>
      <c r="CE40" s="21" t="n"/>
      <c r="CF40" s="21" t="n"/>
      <c r="CG40" s="21" t="n"/>
      <c r="CH40" s="21" t="n"/>
      <c r="CI40" s="23" t="n"/>
      <c r="CK40" s="21" t="n"/>
      <c r="CL40" s="21" t="n"/>
      <c r="CM40" s="21" t="n"/>
      <c r="CN40" s="21" t="n"/>
      <c r="CO40" s="21" t="n"/>
      <c r="CP40" s="21" t="n"/>
      <c r="CQ40" s="21" t="n"/>
      <c r="CR40" s="21" t="n"/>
      <c r="CS40" s="21" t="n"/>
      <c r="CT40" s="21" t="n"/>
      <c r="CU40" s="21" t="n"/>
      <c r="CV40" s="21" t="n"/>
      <c r="CW40" s="23" t="n"/>
      <c r="CY40" s="21" t="n"/>
      <c r="CZ40" s="21" t="n"/>
      <c r="DA40" s="21" t="n"/>
      <c r="DB40" s="21" t="n"/>
      <c r="DC40" s="21" t="n"/>
      <c r="DD40" s="21" t="n"/>
      <c r="DE40" s="21" t="n"/>
      <c r="DF40" s="21" t="n"/>
      <c r="DG40" s="21" t="n"/>
      <c r="DH40" s="21" t="n"/>
      <c r="DI40" s="21" t="n"/>
      <c r="DJ40" s="21" t="n"/>
      <c r="DK40" s="23" t="n"/>
      <c r="DM40" s="21" t="n"/>
      <c r="DN40" s="21" t="n"/>
      <c r="DO40" s="21" t="n"/>
      <c r="DP40" s="21" t="n"/>
      <c r="DQ40" s="21" t="n"/>
      <c r="DR40" s="21" t="n"/>
      <c r="DS40" s="21" t="n"/>
      <c r="DT40" s="21" t="n"/>
      <c r="DU40" s="21" t="n"/>
      <c r="DV40" s="21" t="n"/>
      <c r="DW40" s="21" t="n"/>
      <c r="DX40" s="21" t="n"/>
      <c r="DY40" s="23" t="n"/>
      <c r="EA40" s="21" t="n"/>
      <c r="EB40" s="21" t="n"/>
      <c r="EC40" s="21" t="n"/>
      <c r="ED40" s="21" t="n"/>
      <c r="EE40" s="21" t="n"/>
      <c r="EF40" s="21" t="n"/>
      <c r="EG40" s="21" t="n"/>
      <c r="EH40" s="21" t="n"/>
      <c r="EI40" s="21" t="n"/>
      <c r="EJ40" s="21" t="n"/>
      <c r="EK40" s="21" t="n"/>
      <c r="EL40" s="21" t="n"/>
      <c r="EM40" s="23" t="n"/>
    </row>
    <row r="41" hidden="1">
      <c r="C41" s="20" t="n"/>
      <c r="E41" s="21" t="n"/>
      <c r="F41" s="21" t="n"/>
      <c r="G41" s="21" t="n"/>
      <c r="H41" s="21" t="n"/>
      <c r="I41" s="21" t="n"/>
      <c r="J41" s="21" t="n"/>
      <c r="K41" s="21" t="n"/>
      <c r="L41" s="21" t="n"/>
      <c r="M41" s="21" t="n"/>
      <c r="N41" s="21" t="n"/>
      <c r="O41" s="21" t="n"/>
      <c r="P41" s="21" t="n"/>
      <c r="Q41" s="23">
        <f> SUM(E41:P41)</f>
        <v/>
      </c>
      <c r="S41" s="21" t="n"/>
      <c r="T41" s="21" t="n"/>
      <c r="U41" s="21" t="n"/>
      <c r="V41" s="21" t="n"/>
      <c r="W41" s="21" t="n"/>
      <c r="X41" s="21" t="n"/>
      <c r="Y41" s="21" t="n"/>
      <c r="Z41" s="21" t="n"/>
      <c r="AA41" s="21" t="n"/>
      <c r="AB41" s="21" t="n"/>
      <c r="AC41" s="21" t="n"/>
      <c r="AD41" s="21" t="n"/>
      <c r="AE41" s="23">
        <f> SUM(S41:AD41)</f>
        <v/>
      </c>
      <c r="AG41" s="21" t="n"/>
      <c r="AH41" s="21" t="n"/>
      <c r="AI41" s="21" t="n"/>
      <c r="AJ41" s="21" t="n"/>
      <c r="AK41" s="21" t="n"/>
      <c r="AL41" s="21" t="n"/>
      <c r="AM41" s="21" t="n"/>
      <c r="AN41" s="21" t="n"/>
      <c r="AO41" s="21" t="n"/>
      <c r="AP41" s="21" t="n"/>
      <c r="AQ41" s="21" t="n"/>
      <c r="AR41" s="21" t="n"/>
      <c r="AS41" s="23" t="n"/>
      <c r="AU41" s="21" t="n"/>
      <c r="AV41" s="21" t="n"/>
      <c r="AW41" s="21" t="n"/>
      <c r="AX41" s="21" t="n"/>
      <c r="AY41" s="21" t="n"/>
      <c r="AZ41" s="21" t="n"/>
      <c r="BA41" s="21" t="n"/>
      <c r="BB41" s="21" t="n"/>
      <c r="BC41" s="21" t="n"/>
      <c r="BD41" s="21" t="n"/>
      <c r="BE41" s="21" t="n"/>
      <c r="BF41" s="21" t="n"/>
      <c r="BG41" s="23" t="n"/>
      <c r="BI41" s="21" t="n"/>
      <c r="BJ41" s="21" t="n"/>
      <c r="BK41" s="21" t="n"/>
      <c r="BL41" s="21" t="n"/>
      <c r="BM41" s="21" t="n"/>
      <c r="BN41" s="21" t="n"/>
      <c r="BO41" s="21" t="n"/>
      <c r="BP41" s="21" t="n"/>
      <c r="BQ41" s="21" t="n"/>
      <c r="BR41" s="21" t="n"/>
      <c r="BS41" s="21" t="n"/>
      <c r="BT41" s="21" t="n"/>
      <c r="BU41" s="23" t="n"/>
      <c r="BW41" s="21" t="n"/>
      <c r="BX41" s="21" t="n"/>
      <c r="BY41" s="21" t="n"/>
      <c r="BZ41" s="21" t="n"/>
      <c r="CA41" s="21" t="n"/>
      <c r="CB41" s="21" t="n"/>
      <c r="CC41" s="21" t="n"/>
      <c r="CD41" s="21" t="n"/>
      <c r="CE41" s="21" t="n"/>
      <c r="CF41" s="21" t="n"/>
      <c r="CG41" s="21" t="n"/>
      <c r="CH41" s="21" t="n"/>
      <c r="CI41" s="23" t="n"/>
      <c r="CK41" s="21" t="n"/>
      <c r="CL41" s="21" t="n"/>
      <c r="CM41" s="21" t="n"/>
      <c r="CN41" s="21" t="n"/>
      <c r="CO41" s="21" t="n"/>
      <c r="CP41" s="21" t="n"/>
      <c r="CQ41" s="21" t="n"/>
      <c r="CR41" s="21" t="n"/>
      <c r="CS41" s="21" t="n"/>
      <c r="CT41" s="21" t="n"/>
      <c r="CU41" s="21" t="n"/>
      <c r="CV41" s="21" t="n"/>
      <c r="CW41" s="23" t="n"/>
      <c r="CY41" s="21" t="n"/>
      <c r="CZ41" s="21" t="n"/>
      <c r="DA41" s="21" t="n"/>
      <c r="DB41" s="21" t="n"/>
      <c r="DC41" s="21" t="n"/>
      <c r="DD41" s="21" t="n"/>
      <c r="DE41" s="21" t="n"/>
      <c r="DF41" s="21" t="n"/>
      <c r="DG41" s="21" t="n"/>
      <c r="DH41" s="21" t="n"/>
      <c r="DI41" s="21" t="n"/>
      <c r="DJ41" s="21" t="n"/>
      <c r="DK41" s="23" t="n"/>
      <c r="DM41" s="21" t="n"/>
      <c r="DN41" s="21" t="n"/>
      <c r="DO41" s="21" t="n"/>
      <c r="DP41" s="21" t="n"/>
      <c r="DQ41" s="21" t="n"/>
      <c r="DR41" s="21" t="n"/>
      <c r="DS41" s="21" t="n"/>
      <c r="DT41" s="21" t="n"/>
      <c r="DU41" s="21" t="n"/>
      <c r="DV41" s="21" t="n"/>
      <c r="DW41" s="21" t="n"/>
      <c r="DX41" s="21" t="n"/>
      <c r="DY41" s="23" t="n"/>
      <c r="EA41" s="21" t="n"/>
      <c r="EB41" s="21" t="n"/>
      <c r="EC41" s="21" t="n"/>
      <c r="ED41" s="21" t="n"/>
      <c r="EE41" s="21" t="n"/>
      <c r="EF41" s="21" t="n"/>
      <c r="EG41" s="21" t="n"/>
      <c r="EH41" s="21" t="n"/>
      <c r="EI41" s="21" t="n"/>
      <c r="EJ41" s="21" t="n"/>
      <c r="EK41" s="21" t="n"/>
      <c r="EL41" s="21" t="n"/>
      <c r="EM41" s="23" t="n"/>
    </row>
    <row r="42" hidden="1">
      <c r="C42" s="20" t="n"/>
      <c r="E42" s="21" t="n"/>
      <c r="F42" s="21" t="n"/>
      <c r="G42" s="21" t="n"/>
      <c r="H42" s="21" t="n"/>
      <c r="I42" s="21" t="n"/>
      <c r="J42" s="21" t="n"/>
      <c r="K42" s="21" t="n"/>
      <c r="L42" s="21" t="n"/>
      <c r="M42" s="21" t="n"/>
      <c r="N42" s="21" t="n"/>
      <c r="O42" s="21" t="n"/>
      <c r="P42" s="21" t="n"/>
      <c r="Q42" s="23">
        <f> SUM(E42:P42)</f>
        <v/>
      </c>
      <c r="S42" s="21" t="n"/>
      <c r="T42" s="21" t="n"/>
      <c r="U42" s="21" t="n"/>
      <c r="V42" s="21" t="n"/>
      <c r="W42" s="21" t="n"/>
      <c r="X42" s="21" t="n"/>
      <c r="Y42" s="21" t="n"/>
      <c r="Z42" s="21" t="n"/>
      <c r="AA42" s="21" t="n"/>
      <c r="AB42" s="21" t="n"/>
      <c r="AC42" s="21" t="n"/>
      <c r="AD42" s="21" t="n"/>
      <c r="AE42" s="23">
        <f> SUM(S42:AD42)</f>
        <v/>
      </c>
      <c r="AG42" s="21" t="n"/>
      <c r="AH42" s="21" t="n"/>
      <c r="AI42" s="21" t="n"/>
      <c r="AJ42" s="21" t="n"/>
      <c r="AK42" s="21" t="n"/>
      <c r="AL42" s="21" t="n"/>
      <c r="AM42" s="21" t="n"/>
      <c r="AN42" s="21" t="n"/>
      <c r="AO42" s="21" t="n"/>
      <c r="AP42" s="21" t="n"/>
      <c r="AQ42" s="21" t="n"/>
      <c r="AR42" s="21" t="n"/>
      <c r="AS42" s="23" t="n"/>
      <c r="AU42" s="21" t="n"/>
      <c r="AV42" s="21" t="n"/>
      <c r="AW42" s="21" t="n"/>
      <c r="AX42" s="21" t="n"/>
      <c r="AY42" s="21" t="n"/>
      <c r="AZ42" s="21" t="n"/>
      <c r="BA42" s="21" t="n"/>
      <c r="BB42" s="21" t="n"/>
      <c r="BC42" s="21" t="n"/>
      <c r="BD42" s="21" t="n"/>
      <c r="BE42" s="21" t="n"/>
      <c r="BF42" s="21" t="n"/>
      <c r="BG42" s="23" t="n"/>
      <c r="BI42" s="21" t="n"/>
      <c r="BJ42" s="21" t="n"/>
      <c r="BK42" s="21" t="n"/>
      <c r="BL42" s="21" t="n"/>
      <c r="BM42" s="21" t="n"/>
      <c r="BN42" s="21" t="n"/>
      <c r="BO42" s="21" t="n"/>
      <c r="BP42" s="21" t="n"/>
      <c r="BQ42" s="21" t="n"/>
      <c r="BR42" s="21" t="n"/>
      <c r="BS42" s="21" t="n"/>
      <c r="BT42" s="21" t="n"/>
      <c r="BU42" s="23" t="n"/>
      <c r="BW42" s="21" t="n"/>
      <c r="BX42" s="21" t="n"/>
      <c r="BY42" s="21" t="n"/>
      <c r="BZ42" s="21" t="n"/>
      <c r="CA42" s="21" t="n"/>
      <c r="CB42" s="21" t="n"/>
      <c r="CC42" s="21" t="n"/>
      <c r="CD42" s="21" t="n"/>
      <c r="CE42" s="21" t="n"/>
      <c r="CF42" s="21" t="n"/>
      <c r="CG42" s="21" t="n"/>
      <c r="CH42" s="21" t="n"/>
      <c r="CI42" s="23" t="n"/>
      <c r="CK42" s="21" t="n"/>
      <c r="CL42" s="21" t="n"/>
      <c r="CM42" s="21" t="n"/>
      <c r="CN42" s="21" t="n"/>
      <c r="CO42" s="21" t="n"/>
      <c r="CP42" s="21" t="n"/>
      <c r="CQ42" s="21" t="n"/>
      <c r="CR42" s="21" t="n"/>
      <c r="CS42" s="21" t="n"/>
      <c r="CT42" s="21" t="n"/>
      <c r="CU42" s="21" t="n"/>
      <c r="CV42" s="21" t="n"/>
      <c r="CW42" s="23" t="n"/>
      <c r="CY42" s="21" t="n"/>
      <c r="CZ42" s="21" t="n"/>
      <c r="DA42" s="21" t="n"/>
      <c r="DB42" s="21" t="n"/>
      <c r="DC42" s="21" t="n"/>
      <c r="DD42" s="21" t="n"/>
      <c r="DE42" s="21" t="n"/>
      <c r="DF42" s="21" t="n"/>
      <c r="DG42" s="21" t="n"/>
      <c r="DH42" s="21" t="n"/>
      <c r="DI42" s="21" t="n"/>
      <c r="DJ42" s="21" t="n"/>
      <c r="DK42" s="23" t="n"/>
      <c r="DM42" s="21" t="n"/>
      <c r="DN42" s="21" t="n"/>
      <c r="DO42" s="21" t="n"/>
      <c r="DP42" s="21" t="n"/>
      <c r="DQ42" s="21" t="n"/>
      <c r="DR42" s="21" t="n"/>
      <c r="DS42" s="21" t="n"/>
      <c r="DT42" s="21" t="n"/>
      <c r="DU42" s="21" t="n"/>
      <c r="DV42" s="21" t="n"/>
      <c r="DW42" s="21" t="n"/>
      <c r="DX42" s="21" t="n"/>
      <c r="DY42" s="23" t="n"/>
      <c r="EA42" s="21" t="n"/>
      <c r="EB42" s="21" t="n"/>
      <c r="EC42" s="21" t="n"/>
      <c r="ED42" s="21" t="n"/>
      <c r="EE42" s="21" t="n"/>
      <c r="EF42" s="21" t="n"/>
      <c r="EG42" s="21" t="n"/>
      <c r="EH42" s="21" t="n"/>
      <c r="EI42" s="21" t="n"/>
      <c r="EJ42" s="21" t="n"/>
      <c r="EK42" s="21" t="n"/>
      <c r="EL42" s="21" t="n"/>
      <c r="EM42" s="23" t="n"/>
    </row>
    <row r="43" hidden="1">
      <c r="C43" s="20" t="n"/>
      <c r="E43" s="21" t="n"/>
      <c r="F43" s="21" t="n"/>
      <c r="G43" s="21" t="n"/>
      <c r="H43" s="21" t="n"/>
      <c r="I43" s="21" t="n"/>
      <c r="J43" s="21" t="n"/>
      <c r="K43" s="21" t="n"/>
      <c r="L43" s="21" t="n"/>
      <c r="M43" s="21" t="n"/>
      <c r="N43" s="21" t="n"/>
      <c r="O43" s="21" t="n"/>
      <c r="P43" s="21" t="n"/>
      <c r="Q43" s="23">
        <f> SUM(E43:P43)</f>
        <v/>
      </c>
      <c r="S43" s="21" t="n"/>
      <c r="T43" s="21" t="n"/>
      <c r="U43" s="21" t="n"/>
      <c r="V43" s="21" t="n"/>
      <c r="W43" s="21" t="n"/>
      <c r="X43" s="21" t="n"/>
      <c r="Y43" s="21" t="n"/>
      <c r="Z43" s="21" t="n"/>
      <c r="AA43" s="21" t="n"/>
      <c r="AB43" s="21" t="n"/>
      <c r="AC43" s="21" t="n"/>
      <c r="AD43" s="21" t="n"/>
      <c r="AE43" s="23">
        <f> SUM(S43:AD43)</f>
        <v/>
      </c>
      <c r="AG43" s="21" t="n"/>
      <c r="AH43" s="21" t="n"/>
      <c r="AI43" s="21" t="n"/>
      <c r="AJ43" s="21" t="n"/>
      <c r="AK43" s="21" t="n"/>
      <c r="AL43" s="21" t="n"/>
      <c r="AM43" s="21" t="n"/>
      <c r="AN43" s="21" t="n"/>
      <c r="AO43" s="21" t="n"/>
      <c r="AP43" s="21" t="n"/>
      <c r="AQ43" s="21" t="n"/>
      <c r="AR43" s="21" t="n"/>
      <c r="AS43" s="23" t="n"/>
      <c r="AU43" s="21" t="n"/>
      <c r="AV43" s="21" t="n"/>
      <c r="AW43" s="21" t="n"/>
      <c r="AX43" s="21" t="n"/>
      <c r="AY43" s="21" t="n"/>
      <c r="AZ43" s="21" t="n"/>
      <c r="BA43" s="21" t="n"/>
      <c r="BB43" s="21" t="n"/>
      <c r="BC43" s="21" t="n"/>
      <c r="BD43" s="21" t="n"/>
      <c r="BE43" s="21" t="n"/>
      <c r="BF43" s="21" t="n"/>
      <c r="BG43" s="23" t="n"/>
      <c r="BI43" s="21" t="n"/>
      <c r="BJ43" s="21" t="n"/>
      <c r="BK43" s="21" t="n"/>
      <c r="BL43" s="21" t="n"/>
      <c r="BM43" s="21" t="n"/>
      <c r="BN43" s="21" t="n"/>
      <c r="BO43" s="21" t="n"/>
      <c r="BP43" s="21" t="n"/>
      <c r="BQ43" s="21" t="n"/>
      <c r="BR43" s="21" t="n"/>
      <c r="BS43" s="21" t="n"/>
      <c r="BT43" s="21" t="n"/>
      <c r="BU43" s="23" t="n"/>
      <c r="BW43" s="21" t="n"/>
      <c r="BX43" s="21" t="n"/>
      <c r="BY43" s="21" t="n"/>
      <c r="BZ43" s="21" t="n"/>
      <c r="CA43" s="21" t="n"/>
      <c r="CB43" s="21" t="n"/>
      <c r="CC43" s="21" t="n"/>
      <c r="CD43" s="21" t="n"/>
      <c r="CE43" s="21" t="n"/>
      <c r="CF43" s="21" t="n"/>
      <c r="CG43" s="21" t="n"/>
      <c r="CH43" s="21" t="n"/>
      <c r="CI43" s="23" t="n"/>
      <c r="CK43" s="21" t="n"/>
      <c r="CL43" s="21" t="n"/>
      <c r="CM43" s="21" t="n"/>
      <c r="CN43" s="21" t="n"/>
      <c r="CO43" s="21" t="n"/>
      <c r="CP43" s="21" t="n"/>
      <c r="CQ43" s="21" t="n"/>
      <c r="CR43" s="21" t="n"/>
      <c r="CS43" s="21" t="n"/>
      <c r="CT43" s="21" t="n"/>
      <c r="CU43" s="21" t="n"/>
      <c r="CV43" s="21" t="n"/>
      <c r="CW43" s="23" t="n"/>
      <c r="CY43" s="21" t="n"/>
      <c r="CZ43" s="21" t="n"/>
      <c r="DA43" s="21" t="n"/>
      <c r="DB43" s="21" t="n"/>
      <c r="DC43" s="21" t="n"/>
      <c r="DD43" s="21" t="n"/>
      <c r="DE43" s="21" t="n"/>
      <c r="DF43" s="21" t="n"/>
      <c r="DG43" s="21" t="n"/>
      <c r="DH43" s="21" t="n"/>
      <c r="DI43" s="21" t="n"/>
      <c r="DJ43" s="21" t="n"/>
      <c r="DK43" s="23" t="n"/>
      <c r="DM43" s="21" t="n"/>
      <c r="DN43" s="21" t="n"/>
      <c r="DO43" s="21" t="n"/>
      <c r="DP43" s="21" t="n"/>
      <c r="DQ43" s="21" t="n"/>
      <c r="DR43" s="21" t="n"/>
      <c r="DS43" s="21" t="n"/>
      <c r="DT43" s="21" t="n"/>
      <c r="DU43" s="21" t="n"/>
      <c r="DV43" s="21" t="n"/>
      <c r="DW43" s="21" t="n"/>
      <c r="DX43" s="21" t="n"/>
      <c r="DY43" s="23" t="n"/>
      <c r="EA43" s="21" t="n"/>
      <c r="EB43" s="21" t="n"/>
      <c r="EC43" s="21" t="n"/>
      <c r="ED43" s="21" t="n"/>
      <c r="EE43" s="21" t="n"/>
      <c r="EF43" s="21" t="n"/>
      <c r="EG43" s="21" t="n"/>
      <c r="EH43" s="21" t="n"/>
      <c r="EI43" s="21" t="n"/>
      <c r="EJ43" s="21" t="n"/>
      <c r="EK43" s="21" t="n"/>
      <c r="EL43" s="21" t="n"/>
      <c r="EM43" s="23" t="n"/>
    </row>
    <row r="44" hidden="1">
      <c r="C44" s="20" t="n"/>
      <c r="E44" s="21" t="n"/>
      <c r="F44" s="21" t="n"/>
      <c r="G44" s="21" t="n"/>
      <c r="H44" s="21" t="n"/>
      <c r="I44" s="21" t="n"/>
      <c r="J44" s="21" t="n"/>
      <c r="K44" s="21" t="n"/>
      <c r="L44" s="21" t="n"/>
      <c r="M44" s="21" t="n"/>
      <c r="N44" s="21" t="n"/>
      <c r="O44" s="21" t="n"/>
      <c r="P44" s="21" t="n"/>
      <c r="Q44" s="23">
        <f> SUM(E44:P44)</f>
        <v/>
      </c>
      <c r="S44" s="21" t="n"/>
      <c r="T44" s="21" t="n"/>
      <c r="U44" s="21" t="n"/>
      <c r="V44" s="21" t="n"/>
      <c r="W44" s="21" t="n"/>
      <c r="X44" s="21" t="n"/>
      <c r="Y44" s="21" t="n"/>
      <c r="Z44" s="21" t="n"/>
      <c r="AA44" s="21" t="n"/>
      <c r="AB44" s="21" t="n"/>
      <c r="AC44" s="21" t="n"/>
      <c r="AD44" s="21" t="n"/>
      <c r="AE44" s="23">
        <f> SUM(S44:AD44)</f>
        <v/>
      </c>
      <c r="AG44" s="21" t="n"/>
      <c r="AH44" s="21" t="n"/>
      <c r="AI44" s="21" t="n"/>
      <c r="AJ44" s="21" t="n"/>
      <c r="AK44" s="21" t="n"/>
      <c r="AL44" s="21" t="n"/>
      <c r="AM44" s="21" t="n"/>
      <c r="AN44" s="21" t="n"/>
      <c r="AO44" s="21" t="n"/>
      <c r="AP44" s="21" t="n"/>
      <c r="AQ44" s="21" t="n"/>
      <c r="AR44" s="21" t="n"/>
      <c r="AS44" s="23" t="n"/>
      <c r="AU44" s="21" t="n"/>
      <c r="AV44" s="21" t="n"/>
      <c r="AW44" s="21" t="n"/>
      <c r="AX44" s="21" t="n"/>
      <c r="AY44" s="21" t="n"/>
      <c r="AZ44" s="21" t="n"/>
      <c r="BA44" s="21" t="n"/>
      <c r="BB44" s="21" t="n"/>
      <c r="BC44" s="21" t="n"/>
      <c r="BD44" s="21" t="n"/>
      <c r="BE44" s="21" t="n"/>
      <c r="BF44" s="21" t="n"/>
      <c r="BG44" s="23" t="n"/>
      <c r="BI44" s="21" t="n"/>
      <c r="BJ44" s="21" t="n"/>
      <c r="BK44" s="21" t="n"/>
      <c r="BL44" s="21" t="n"/>
      <c r="BM44" s="21" t="n"/>
      <c r="BN44" s="21" t="n"/>
      <c r="BO44" s="21" t="n"/>
      <c r="BP44" s="21" t="n"/>
      <c r="BQ44" s="21" t="n"/>
      <c r="BR44" s="21" t="n"/>
      <c r="BS44" s="21" t="n"/>
      <c r="BT44" s="21" t="n"/>
      <c r="BU44" s="23" t="n"/>
      <c r="BW44" s="21" t="n"/>
      <c r="BX44" s="21" t="n"/>
      <c r="BY44" s="21" t="n"/>
      <c r="BZ44" s="21" t="n"/>
      <c r="CA44" s="21" t="n"/>
      <c r="CB44" s="21" t="n"/>
      <c r="CC44" s="21" t="n"/>
      <c r="CD44" s="21" t="n"/>
      <c r="CE44" s="21" t="n"/>
      <c r="CF44" s="21" t="n"/>
      <c r="CG44" s="21" t="n"/>
      <c r="CH44" s="21" t="n"/>
      <c r="CI44" s="23" t="n"/>
      <c r="CK44" s="21" t="n"/>
      <c r="CL44" s="21" t="n"/>
      <c r="CM44" s="21" t="n"/>
      <c r="CN44" s="21" t="n"/>
      <c r="CO44" s="21" t="n"/>
      <c r="CP44" s="21" t="n"/>
      <c r="CQ44" s="21" t="n"/>
      <c r="CR44" s="21" t="n"/>
      <c r="CS44" s="21" t="n"/>
      <c r="CT44" s="21" t="n"/>
      <c r="CU44" s="21" t="n"/>
      <c r="CV44" s="21" t="n"/>
      <c r="CW44" s="23" t="n"/>
      <c r="CY44" s="21" t="n"/>
      <c r="CZ44" s="21" t="n"/>
      <c r="DA44" s="21" t="n"/>
      <c r="DB44" s="21" t="n"/>
      <c r="DC44" s="21" t="n"/>
      <c r="DD44" s="21" t="n"/>
      <c r="DE44" s="21" t="n"/>
      <c r="DF44" s="21" t="n"/>
      <c r="DG44" s="21" t="n"/>
      <c r="DH44" s="21" t="n"/>
      <c r="DI44" s="21" t="n"/>
      <c r="DJ44" s="21" t="n"/>
      <c r="DK44" s="23" t="n"/>
      <c r="DM44" s="21" t="n"/>
      <c r="DN44" s="21" t="n"/>
      <c r="DO44" s="21" t="n"/>
      <c r="DP44" s="21" t="n"/>
      <c r="DQ44" s="21" t="n"/>
      <c r="DR44" s="21" t="n"/>
      <c r="DS44" s="21" t="n"/>
      <c r="DT44" s="21" t="n"/>
      <c r="DU44" s="21" t="n"/>
      <c r="DV44" s="21" t="n"/>
      <c r="DW44" s="21" t="n"/>
      <c r="DX44" s="21" t="n"/>
      <c r="DY44" s="23" t="n"/>
      <c r="EA44" s="21" t="n"/>
      <c r="EB44" s="21" t="n"/>
      <c r="EC44" s="21" t="n"/>
      <c r="ED44" s="21" t="n"/>
      <c r="EE44" s="21" t="n"/>
      <c r="EF44" s="21" t="n"/>
      <c r="EG44" s="21" t="n"/>
      <c r="EH44" s="21" t="n"/>
      <c r="EI44" s="21" t="n"/>
      <c r="EJ44" s="21" t="n"/>
      <c r="EK44" s="21" t="n"/>
      <c r="EL44" s="21" t="n"/>
      <c r="EM44" s="23" t="n"/>
    </row>
    <row r="45" hidden="1">
      <c r="C45" s="20" t="n"/>
      <c r="E45" s="21" t="n"/>
      <c r="F45" s="21" t="n"/>
      <c r="G45" s="21" t="n"/>
      <c r="H45" s="21" t="n"/>
      <c r="I45" s="21" t="n"/>
      <c r="J45" s="21" t="n"/>
      <c r="K45" s="101" t="n"/>
      <c r="L45" s="21" t="n"/>
      <c r="M45" s="21" t="n"/>
      <c r="N45" s="21" t="n"/>
      <c r="O45" s="21" t="n"/>
      <c r="P45" s="21" t="n"/>
      <c r="Q45" s="23">
        <f> SUM(E45:P45)</f>
        <v/>
      </c>
      <c r="S45" s="21" t="n"/>
      <c r="T45" s="21" t="n"/>
      <c r="U45" s="21" t="n"/>
      <c r="V45" s="21" t="n"/>
      <c r="W45" s="21" t="n"/>
      <c r="X45" s="21" t="n"/>
      <c r="Y45" s="21" t="n"/>
      <c r="Z45" s="21" t="n"/>
      <c r="AA45" s="21" t="n"/>
      <c r="AB45" s="21" t="n"/>
      <c r="AC45" s="21" t="n"/>
      <c r="AD45" s="21" t="n"/>
      <c r="AE45" s="23">
        <f> SUM(S45:AD45)</f>
        <v/>
      </c>
      <c r="AG45" s="21" t="n"/>
      <c r="AH45" s="21" t="n"/>
      <c r="AI45" s="21" t="n"/>
      <c r="AJ45" s="21" t="n"/>
      <c r="AK45" s="21" t="n"/>
      <c r="AL45" s="21" t="n"/>
      <c r="AM45" s="21" t="n"/>
      <c r="AN45" s="21" t="n"/>
      <c r="AO45" s="21" t="n"/>
      <c r="AP45" s="21" t="n"/>
      <c r="AQ45" s="21" t="n"/>
      <c r="AR45" s="21" t="n"/>
      <c r="AS45" s="23" t="n"/>
      <c r="AU45" s="21" t="n"/>
      <c r="AV45" s="21" t="n"/>
      <c r="AW45" s="21" t="n"/>
      <c r="AX45" s="21" t="n"/>
      <c r="AY45" s="21" t="n"/>
      <c r="AZ45" s="21" t="n"/>
      <c r="BA45" s="21" t="n"/>
      <c r="BB45" s="21" t="n"/>
      <c r="BC45" s="21" t="n"/>
      <c r="BD45" s="21" t="n"/>
      <c r="BE45" s="21" t="n"/>
      <c r="BF45" s="21" t="n"/>
      <c r="BG45" s="23" t="n"/>
      <c r="BI45" s="21" t="n"/>
      <c r="BJ45" s="21" t="n"/>
      <c r="BK45" s="21" t="n"/>
      <c r="BL45" s="21" t="n"/>
      <c r="BM45" s="21" t="n"/>
      <c r="BN45" s="21" t="n"/>
      <c r="BO45" s="21" t="n"/>
      <c r="BP45" s="21" t="n"/>
      <c r="BQ45" s="21" t="n"/>
      <c r="BR45" s="21" t="n"/>
      <c r="BS45" s="21" t="n"/>
      <c r="BT45" s="21" t="n"/>
      <c r="BU45" s="23" t="n"/>
      <c r="BW45" s="21" t="n"/>
      <c r="BX45" s="21" t="n"/>
      <c r="BY45" s="21" t="n"/>
      <c r="BZ45" s="21" t="n"/>
      <c r="CA45" s="21" t="n"/>
      <c r="CB45" s="21" t="n"/>
      <c r="CC45" s="21" t="n"/>
      <c r="CD45" s="21" t="n"/>
      <c r="CE45" s="21" t="n"/>
      <c r="CF45" s="21" t="n"/>
      <c r="CG45" s="21" t="n"/>
      <c r="CH45" s="21" t="n"/>
      <c r="CI45" s="23" t="n"/>
      <c r="CK45" s="21" t="n"/>
      <c r="CL45" s="21" t="n"/>
      <c r="CM45" s="21" t="n"/>
      <c r="CN45" s="21" t="n"/>
      <c r="CO45" s="21" t="n"/>
      <c r="CP45" s="21" t="n"/>
      <c r="CQ45" s="21" t="n"/>
      <c r="CR45" s="21" t="n"/>
      <c r="CS45" s="21" t="n"/>
      <c r="CT45" s="21" t="n"/>
      <c r="CU45" s="21" t="n"/>
      <c r="CV45" s="21" t="n"/>
      <c r="CW45" s="23" t="n"/>
      <c r="CY45" s="21" t="n"/>
      <c r="CZ45" s="21" t="n"/>
      <c r="DA45" s="21" t="n"/>
      <c r="DB45" s="21" t="n"/>
      <c r="DC45" s="21" t="n"/>
      <c r="DD45" s="21" t="n"/>
      <c r="DE45" s="21" t="n"/>
      <c r="DF45" s="21" t="n"/>
      <c r="DG45" s="21" t="n"/>
      <c r="DH45" s="21" t="n"/>
      <c r="DI45" s="21" t="n"/>
      <c r="DJ45" s="21" t="n"/>
      <c r="DK45" s="23" t="n"/>
      <c r="DM45" s="21" t="n"/>
      <c r="DN45" s="21" t="n"/>
      <c r="DO45" s="21" t="n"/>
      <c r="DP45" s="21" t="n"/>
      <c r="DQ45" s="21" t="n"/>
      <c r="DR45" s="21" t="n"/>
      <c r="DS45" s="21" t="n"/>
      <c r="DT45" s="21" t="n"/>
      <c r="DU45" s="21" t="n"/>
      <c r="DV45" s="21" t="n"/>
      <c r="DW45" s="21" t="n"/>
      <c r="DX45" s="21" t="n"/>
      <c r="DY45" s="23" t="n"/>
      <c r="EA45" s="21" t="n"/>
      <c r="EB45" s="21" t="n"/>
      <c r="EC45" s="21" t="n"/>
      <c r="ED45" s="21" t="n"/>
      <c r="EE45" s="21" t="n"/>
      <c r="EF45" s="21" t="n"/>
      <c r="EG45" s="21" t="n"/>
      <c r="EH45" s="21" t="n"/>
      <c r="EI45" s="21" t="n"/>
      <c r="EJ45" s="21" t="n"/>
      <c r="EK45" s="21" t="n"/>
      <c r="EL45" s="21" t="n"/>
      <c r="EM45" s="23" t="n"/>
    </row>
    <row r="46" hidden="1">
      <c r="C46" s="20" t="n"/>
      <c r="E46" s="21" t="n"/>
      <c r="F46" s="21" t="n"/>
      <c r="G46" s="21" t="n"/>
      <c r="H46" s="21" t="n"/>
      <c r="I46" s="21" t="n"/>
      <c r="J46" s="21" t="n"/>
      <c r="K46" s="101" t="n"/>
      <c r="L46" s="21" t="n"/>
      <c r="M46" s="21" t="n"/>
      <c r="N46" s="21" t="n"/>
      <c r="O46" s="21" t="n"/>
      <c r="P46" s="21" t="n"/>
      <c r="Q46" s="23">
        <f> SUM(E46:P46)</f>
        <v/>
      </c>
      <c r="S46" s="21" t="n"/>
      <c r="T46" s="21" t="n"/>
      <c r="U46" s="21" t="n"/>
      <c r="V46" s="21" t="n"/>
      <c r="W46" s="21" t="n"/>
      <c r="X46" s="21" t="n"/>
      <c r="Y46" s="21" t="n"/>
      <c r="Z46" s="21" t="n"/>
      <c r="AA46" s="21" t="n"/>
      <c r="AB46" s="21" t="n"/>
      <c r="AC46" s="21" t="n"/>
      <c r="AD46" s="21" t="n"/>
      <c r="AE46" s="23">
        <f> SUM(S46:AD46)</f>
        <v/>
      </c>
      <c r="AG46" s="21" t="n"/>
      <c r="AH46" s="21" t="n"/>
      <c r="AI46" s="21" t="n"/>
      <c r="AJ46" s="21" t="n"/>
      <c r="AK46" s="21" t="n"/>
      <c r="AL46" s="21" t="n"/>
      <c r="AM46" s="21" t="n"/>
      <c r="AN46" s="21" t="n"/>
      <c r="AO46" s="21" t="n"/>
      <c r="AP46" s="21" t="n"/>
      <c r="AQ46" s="21" t="n"/>
      <c r="AR46" s="21" t="n"/>
      <c r="AS46" s="23" t="n"/>
      <c r="AU46" s="21" t="n"/>
      <c r="AV46" s="21" t="n"/>
      <c r="AW46" s="21" t="n"/>
      <c r="AX46" s="21" t="n"/>
      <c r="AY46" s="21" t="n"/>
      <c r="AZ46" s="21" t="n"/>
      <c r="BA46" s="21" t="n"/>
      <c r="BB46" s="21" t="n"/>
      <c r="BC46" s="21" t="n"/>
      <c r="BD46" s="21" t="n"/>
      <c r="BE46" s="21" t="n"/>
      <c r="BF46" s="21" t="n"/>
      <c r="BG46" s="23" t="n"/>
      <c r="BI46" s="21" t="n"/>
      <c r="BJ46" s="21" t="n"/>
      <c r="BK46" s="21" t="n"/>
      <c r="BL46" s="21" t="n"/>
      <c r="BM46" s="21" t="n"/>
      <c r="BN46" s="21" t="n"/>
      <c r="BO46" s="21" t="n"/>
      <c r="BP46" s="21" t="n"/>
      <c r="BQ46" s="21" t="n"/>
      <c r="BR46" s="21" t="n"/>
      <c r="BS46" s="21" t="n"/>
      <c r="BT46" s="21" t="n"/>
      <c r="BU46" s="23" t="n"/>
      <c r="BW46" s="21" t="n"/>
      <c r="BX46" s="21" t="n"/>
      <c r="BY46" s="21" t="n"/>
      <c r="BZ46" s="21" t="n"/>
      <c r="CA46" s="21" t="n"/>
      <c r="CB46" s="21" t="n"/>
      <c r="CC46" s="21" t="n"/>
      <c r="CD46" s="21" t="n"/>
      <c r="CE46" s="21" t="n"/>
      <c r="CF46" s="21" t="n"/>
      <c r="CG46" s="21" t="n"/>
      <c r="CH46" s="21" t="n"/>
      <c r="CI46" s="23" t="n"/>
      <c r="CK46" s="21" t="n"/>
      <c r="CL46" s="21" t="n"/>
      <c r="CM46" s="21" t="n"/>
      <c r="CN46" s="21" t="n"/>
      <c r="CO46" s="21" t="n"/>
      <c r="CP46" s="21" t="n"/>
      <c r="CQ46" s="21" t="n"/>
      <c r="CR46" s="21" t="n"/>
      <c r="CS46" s="21" t="n"/>
      <c r="CT46" s="21" t="n"/>
      <c r="CU46" s="21" t="n"/>
      <c r="CV46" s="21" t="n"/>
      <c r="CW46" s="23" t="n"/>
      <c r="CY46" s="21" t="n"/>
      <c r="CZ46" s="21" t="n"/>
      <c r="DA46" s="21" t="n"/>
      <c r="DB46" s="21" t="n"/>
      <c r="DC46" s="21" t="n"/>
      <c r="DD46" s="21" t="n"/>
      <c r="DE46" s="21" t="n"/>
      <c r="DF46" s="21" t="n"/>
      <c r="DG46" s="21" t="n"/>
      <c r="DH46" s="21" t="n"/>
      <c r="DI46" s="21" t="n"/>
      <c r="DJ46" s="21" t="n"/>
      <c r="DK46" s="23" t="n"/>
      <c r="DM46" s="21" t="n"/>
      <c r="DN46" s="21" t="n"/>
      <c r="DO46" s="21" t="n"/>
      <c r="DP46" s="21" t="n"/>
      <c r="DQ46" s="21" t="n"/>
      <c r="DR46" s="21" t="n"/>
      <c r="DS46" s="21" t="n"/>
      <c r="DT46" s="21" t="n"/>
      <c r="DU46" s="21" t="n"/>
      <c r="DV46" s="21" t="n"/>
      <c r="DW46" s="21" t="n"/>
      <c r="DX46" s="21" t="n"/>
      <c r="DY46" s="23" t="n"/>
      <c r="EA46" s="21" t="n"/>
      <c r="EB46" s="21" t="n"/>
      <c r="EC46" s="21" t="n"/>
      <c r="ED46" s="21" t="n"/>
      <c r="EE46" s="21" t="n"/>
      <c r="EF46" s="21" t="n"/>
      <c r="EG46" s="21" t="n"/>
      <c r="EH46" s="21" t="n"/>
      <c r="EI46" s="21" t="n"/>
      <c r="EJ46" s="21" t="n"/>
      <c r="EK46" s="21" t="n"/>
      <c r="EL46" s="21" t="n"/>
      <c r="EM46" s="23" t="n"/>
    </row>
    <row r="47" hidden="1">
      <c r="C47" s="20" t="n"/>
      <c r="E47" s="21" t="n"/>
      <c r="F47" s="21" t="n"/>
      <c r="G47" s="21" t="n"/>
      <c r="H47" s="21" t="n"/>
      <c r="I47" s="21" t="n"/>
      <c r="J47" s="21" t="n"/>
      <c r="K47" s="101" t="n"/>
      <c r="L47" s="21" t="n"/>
      <c r="M47" s="21" t="n"/>
      <c r="N47" s="21" t="n"/>
      <c r="O47" s="21" t="n"/>
      <c r="P47" s="21" t="n"/>
      <c r="Q47" s="23">
        <f> SUM(E47:P47)</f>
        <v/>
      </c>
      <c r="S47" s="21" t="n"/>
      <c r="T47" s="21" t="n"/>
      <c r="U47" s="21" t="n"/>
      <c r="V47" s="21" t="n"/>
      <c r="W47" s="21" t="n"/>
      <c r="X47" s="21" t="n"/>
      <c r="Y47" s="21" t="n"/>
      <c r="Z47" s="21" t="n"/>
      <c r="AA47" s="21" t="n"/>
      <c r="AB47" s="21" t="n"/>
      <c r="AC47" s="21" t="n"/>
      <c r="AD47" s="21" t="n"/>
      <c r="AE47" s="23">
        <f> SUM(S47:AD47)</f>
        <v/>
      </c>
      <c r="AG47" s="21" t="n"/>
      <c r="AH47" s="21" t="n"/>
      <c r="AI47" s="21" t="n"/>
      <c r="AJ47" s="21" t="n"/>
      <c r="AK47" s="21" t="n"/>
      <c r="AL47" s="21" t="n"/>
      <c r="AM47" s="21" t="n"/>
      <c r="AN47" s="21" t="n"/>
      <c r="AO47" s="21" t="n"/>
      <c r="AP47" s="21" t="n"/>
      <c r="AQ47" s="21" t="n"/>
      <c r="AR47" s="21" t="n"/>
      <c r="AS47" s="23" t="n"/>
      <c r="AU47" s="21" t="n"/>
      <c r="AV47" s="21" t="n"/>
      <c r="AW47" s="21" t="n"/>
      <c r="AX47" s="21" t="n"/>
      <c r="AY47" s="21" t="n"/>
      <c r="AZ47" s="21" t="n"/>
      <c r="BA47" s="21" t="n"/>
      <c r="BB47" s="21" t="n"/>
      <c r="BC47" s="21" t="n"/>
      <c r="BD47" s="21" t="n"/>
      <c r="BE47" s="21" t="n"/>
      <c r="BF47" s="21" t="n"/>
      <c r="BG47" s="23" t="n"/>
      <c r="BI47" s="21" t="n"/>
      <c r="BJ47" s="21" t="n"/>
      <c r="BK47" s="21" t="n"/>
      <c r="BL47" s="21" t="n"/>
      <c r="BM47" s="21" t="n"/>
      <c r="BN47" s="21" t="n"/>
      <c r="BO47" s="21" t="n"/>
      <c r="BP47" s="21" t="n"/>
      <c r="BQ47" s="21" t="n"/>
      <c r="BR47" s="21" t="n"/>
      <c r="BS47" s="21" t="n"/>
      <c r="BT47" s="21" t="n"/>
      <c r="BU47" s="23" t="n"/>
      <c r="BW47" s="21" t="n"/>
      <c r="BX47" s="21" t="n"/>
      <c r="BY47" s="21" t="n"/>
      <c r="BZ47" s="21" t="n"/>
      <c r="CA47" s="21" t="n"/>
      <c r="CB47" s="21" t="n"/>
      <c r="CC47" s="21" t="n"/>
      <c r="CD47" s="21" t="n"/>
      <c r="CE47" s="21" t="n"/>
      <c r="CF47" s="21" t="n"/>
      <c r="CG47" s="21" t="n"/>
      <c r="CH47" s="21" t="n"/>
      <c r="CI47" s="23" t="n"/>
      <c r="CK47" s="21" t="n"/>
      <c r="CL47" s="21" t="n"/>
      <c r="CM47" s="21" t="n"/>
      <c r="CN47" s="21" t="n"/>
      <c r="CO47" s="21" t="n"/>
      <c r="CP47" s="21" t="n"/>
      <c r="CQ47" s="21" t="n"/>
      <c r="CR47" s="21" t="n"/>
      <c r="CS47" s="21" t="n"/>
      <c r="CT47" s="21" t="n"/>
      <c r="CU47" s="21" t="n"/>
      <c r="CV47" s="21" t="n"/>
      <c r="CW47" s="23" t="n"/>
      <c r="CY47" s="21" t="n"/>
      <c r="CZ47" s="21" t="n"/>
      <c r="DA47" s="21" t="n"/>
      <c r="DB47" s="21" t="n"/>
      <c r="DC47" s="21" t="n"/>
      <c r="DD47" s="21" t="n"/>
      <c r="DE47" s="21" t="n"/>
      <c r="DF47" s="21" t="n"/>
      <c r="DG47" s="21" t="n"/>
      <c r="DH47" s="21" t="n"/>
      <c r="DI47" s="21" t="n"/>
      <c r="DJ47" s="21" t="n"/>
      <c r="DK47" s="23" t="n"/>
      <c r="DM47" s="21" t="n"/>
      <c r="DN47" s="21" t="n"/>
      <c r="DO47" s="21" t="n"/>
      <c r="DP47" s="21" t="n"/>
      <c r="DQ47" s="21" t="n"/>
      <c r="DR47" s="21" t="n"/>
      <c r="DS47" s="21" t="n"/>
      <c r="DT47" s="21" t="n"/>
      <c r="DU47" s="21" t="n"/>
      <c r="DV47" s="21" t="n"/>
      <c r="DW47" s="21" t="n"/>
      <c r="DX47" s="21" t="n"/>
      <c r="DY47" s="23" t="n"/>
      <c r="EA47" s="21" t="n"/>
      <c r="EB47" s="21" t="n"/>
      <c r="EC47" s="21" t="n"/>
      <c r="ED47" s="21" t="n"/>
      <c r="EE47" s="21" t="n"/>
      <c r="EF47" s="21" t="n"/>
      <c r="EG47" s="21" t="n"/>
      <c r="EH47" s="21" t="n"/>
      <c r="EI47" s="21" t="n"/>
      <c r="EJ47" s="21" t="n"/>
      <c r="EK47" s="21" t="n"/>
      <c r="EL47" s="21" t="n"/>
      <c r="EM47" s="23" t="n"/>
    </row>
    <row r="48">
      <c r="C48" s="107" t="inlineStr">
        <is>
          <t>Total</t>
        </is>
      </c>
      <c r="E48" s="22">
        <f t="array" ref="E48"> SUM(INDIRECT(ADDRESS(expenses_min_row,COLUMN())&amp;":"&amp;ADDRESS(expenses_max_row,COLUMN())))</f>
        <v/>
      </c>
      <c r="F48" s="22">
        <f t="array" ref="F48"> SUM(INDIRECT(ADDRESS(expenses_min_row,COLUMN())&amp;":"&amp;ADDRESS(expenses_max_row,COLUMN())))</f>
        <v/>
      </c>
      <c r="G48" s="22">
        <f t="array" ref="G48"> SUM(INDIRECT(ADDRESS(expenses_min_row,COLUMN())&amp;":"&amp;ADDRESS(expenses_max_row,COLUMN())))</f>
        <v/>
      </c>
      <c r="H48" s="22">
        <f t="array" ref="H48"> SUM(INDIRECT(ADDRESS(expenses_min_row,COLUMN())&amp;":"&amp;ADDRESS(expenses_max_row,COLUMN())))</f>
        <v/>
      </c>
      <c r="I48" s="22">
        <f t="array" ref="I48"> SUM(INDIRECT(ADDRESS(expenses_min_row,COLUMN())&amp;":"&amp;ADDRESS(expenses_max_row,COLUMN())))</f>
        <v/>
      </c>
      <c r="J48" s="22">
        <f t="array" ref="J48"> SUM(INDIRECT(ADDRESS(expenses_min_row,COLUMN())&amp;":"&amp;ADDRESS(expenses_max_row,COLUMN())))</f>
        <v/>
      </c>
      <c r="K48" s="22">
        <f t="array" ref="K48"> SUM(INDIRECT(ADDRESS(expenses_min_row,COLUMN())&amp;":"&amp;ADDRESS(expenses_max_row,COLUMN())))</f>
        <v/>
      </c>
      <c r="L48" s="22">
        <f t="array" ref="L48"> SUM(INDIRECT(ADDRESS(expenses_min_row,COLUMN())&amp;":"&amp;ADDRESS(expenses_max_row,COLUMN())))</f>
        <v/>
      </c>
      <c r="M48" s="22">
        <f t="array" ref="M48"> SUM(INDIRECT(ADDRESS(expenses_min_row,COLUMN())&amp;":"&amp;ADDRESS(expenses_max_row,COLUMN())))</f>
        <v/>
      </c>
      <c r="N48" s="22">
        <f t="array" ref="N48"> SUM(INDIRECT(ADDRESS(expenses_min_row,COLUMN())&amp;":"&amp;ADDRESS(expenses_max_row,COLUMN())))</f>
        <v/>
      </c>
      <c r="O48" s="22">
        <f t="array" ref="O48"> SUM(INDIRECT(ADDRESS(expenses_min_row,COLUMN())&amp;":"&amp;ADDRESS(expenses_max_row,COLUMN())))</f>
        <v/>
      </c>
      <c r="P48" s="22">
        <f t="array" ref="P48"> SUM(INDIRECT(ADDRESS(expenses_min_row,COLUMN())&amp;":"&amp;ADDRESS(expenses_max_row,COLUMN())))</f>
        <v/>
      </c>
      <c r="Q48" s="22">
        <f t="array" ref="Q48"> SUM(INDIRECT(ADDRESS(expenses_min_row,COLUMN())&amp;":"&amp;ADDRESS(expenses_max_row,COLUMN())))</f>
        <v/>
      </c>
      <c r="S48" s="22">
        <f t="array" ref="S48"> SUM(INDIRECT(ADDRESS(expenses_min_row,COLUMN())&amp;":"&amp;ADDRESS(expenses_max_row,COLUMN())))</f>
        <v/>
      </c>
      <c r="T48" s="22">
        <f t="array" ref="T48"> SUM(INDIRECT(ADDRESS(expenses_min_row,COLUMN())&amp;":"&amp;ADDRESS(expenses_max_row,COLUMN())))</f>
        <v/>
      </c>
      <c r="U48" s="22">
        <f t="array" ref="U48"> SUM(INDIRECT(ADDRESS(expenses_min_row,COLUMN())&amp;":"&amp;ADDRESS(expenses_max_row,COLUMN())))</f>
        <v/>
      </c>
      <c r="V48" s="22">
        <f t="array" ref="V48"> SUM(INDIRECT(ADDRESS(expenses_min_row,COLUMN())&amp;":"&amp;ADDRESS(expenses_max_row,COLUMN())))</f>
        <v/>
      </c>
      <c r="W48" s="22">
        <f t="array" ref="W48"> SUM(INDIRECT(ADDRESS(expenses_min_row,COLUMN())&amp;":"&amp;ADDRESS(expenses_max_row,COLUMN())))</f>
        <v/>
      </c>
      <c r="X48" s="22">
        <f t="array" ref="X48"> SUM(INDIRECT(ADDRESS(expenses_min_row,COLUMN())&amp;":"&amp;ADDRESS(expenses_max_row,COLUMN())))</f>
        <v/>
      </c>
      <c r="Y48" s="22">
        <f t="array" ref="Y48"> SUM(INDIRECT(ADDRESS(expenses_min_row,COLUMN())&amp;":"&amp;ADDRESS(expenses_max_row,COLUMN())))</f>
        <v/>
      </c>
      <c r="Z48" s="22">
        <f t="array" ref="Z48"> SUM(INDIRECT(ADDRESS(expenses_min_row,COLUMN())&amp;":"&amp;ADDRESS(expenses_max_row,COLUMN())))</f>
        <v/>
      </c>
      <c r="AA48" s="22">
        <f t="array" ref="AA48"> SUM(INDIRECT(ADDRESS(expenses_min_row,COLUMN())&amp;":"&amp;ADDRESS(expenses_max_row,COLUMN())))</f>
        <v/>
      </c>
      <c r="AB48" s="22">
        <f t="array" ref="AB48"> SUM(INDIRECT(ADDRESS(expenses_min_row,COLUMN())&amp;":"&amp;ADDRESS(expenses_max_row,COLUMN())))</f>
        <v/>
      </c>
      <c r="AC48" s="22">
        <f t="array" ref="AC48"> SUM(INDIRECT(ADDRESS(expenses_min_row,COLUMN())&amp;":"&amp;ADDRESS(expenses_max_row,COLUMN())))</f>
        <v/>
      </c>
      <c r="AD48" s="22">
        <f t="array" ref="AD48"> SUM(INDIRECT(ADDRESS(expenses_min_row,COLUMN())&amp;":"&amp;ADDRESS(expenses_max_row,COLUMN())))</f>
        <v/>
      </c>
      <c r="AE48" s="22">
        <f t="array" ref="AE48"> SUM(INDIRECT(ADDRESS(expenses_min_row,COLUMN())&amp;":"&amp;ADDRESS(expenses_max_row,COLUMN())))</f>
        <v/>
      </c>
      <c r="AG48" s="22">
        <f t="array" ref="AG48"> SUM(INDIRECT(ADDRESS(expenses_min_row,COLUMN())&amp;":"&amp;ADDRESS(expenses_max_row,COLUMN())))</f>
        <v/>
      </c>
      <c r="AH48" s="22">
        <f t="array" ref="AH48"> SUM(INDIRECT(ADDRESS(expenses_min_row,COLUMN())&amp;":"&amp;ADDRESS(expenses_max_row,COLUMN())))</f>
        <v/>
      </c>
      <c r="AI48" s="22">
        <f t="array" ref="AI48"> SUM(INDIRECT(ADDRESS(expenses_min_row,COLUMN())&amp;":"&amp;ADDRESS(expenses_max_row,COLUMN())))</f>
        <v/>
      </c>
      <c r="AJ48" s="22">
        <f t="array" ref="AJ48"> SUM(INDIRECT(ADDRESS(expenses_min_row,COLUMN())&amp;":"&amp;ADDRESS(expenses_max_row,COLUMN())))</f>
        <v/>
      </c>
      <c r="AK48" s="22">
        <f t="array" ref="AK48"> SUM(INDIRECT(ADDRESS(expenses_min_row,COLUMN())&amp;":"&amp;ADDRESS(expenses_max_row,COLUMN())))</f>
        <v/>
      </c>
      <c r="AL48" s="22">
        <f t="array" ref="AL48"> SUM(INDIRECT(ADDRESS(expenses_min_row,COLUMN())&amp;":"&amp;ADDRESS(expenses_max_row,COLUMN())))</f>
        <v/>
      </c>
      <c r="AM48" s="22">
        <f t="array" ref="AM48"> SUM(INDIRECT(ADDRESS(expenses_min_row,COLUMN())&amp;":"&amp;ADDRESS(expenses_max_row,COLUMN())))</f>
        <v/>
      </c>
      <c r="AN48" s="22">
        <f t="array" ref="AN48"> SUM(INDIRECT(ADDRESS(expenses_min_row,COLUMN())&amp;":"&amp;ADDRESS(expenses_max_row,COLUMN())))</f>
        <v/>
      </c>
      <c r="AO48" s="22">
        <f t="array" ref="AO48"> SUM(INDIRECT(ADDRESS(expenses_min_row,COLUMN())&amp;":"&amp;ADDRESS(expenses_max_row,COLUMN())))</f>
        <v/>
      </c>
      <c r="AP48" s="22">
        <f t="array" ref="AP48"> SUM(INDIRECT(ADDRESS(expenses_min_row,COLUMN())&amp;":"&amp;ADDRESS(expenses_max_row,COLUMN())))</f>
        <v/>
      </c>
      <c r="AQ48" s="22">
        <f t="array" ref="AQ48"> SUM(INDIRECT(ADDRESS(expenses_min_row,COLUMN())&amp;":"&amp;ADDRESS(expenses_max_row,COLUMN())))</f>
        <v/>
      </c>
      <c r="AR48" s="22">
        <f t="array" ref="AR48"> SUM(INDIRECT(ADDRESS(expenses_min_row,COLUMN())&amp;":"&amp;ADDRESS(expenses_max_row,COLUMN())))</f>
        <v/>
      </c>
      <c r="AS48" s="22">
        <f t="array" ref="AS48"> SUM(INDIRECT(ADDRESS(expenses_min_row,COLUMN())&amp;":"&amp;ADDRESS(expenses_max_row,COLUMN())))</f>
        <v/>
      </c>
      <c r="AU48" s="22">
        <f t="array" ref="AU48"> SUM(INDIRECT(ADDRESS(expenses_min_row,COLUMN())&amp;":"&amp;ADDRESS(expenses_max_row,COLUMN())))</f>
        <v/>
      </c>
      <c r="AV48" s="22">
        <f t="array" ref="AV48"> SUM(INDIRECT(ADDRESS(expenses_min_row,COLUMN())&amp;":"&amp;ADDRESS(expenses_max_row,COLUMN())))</f>
        <v/>
      </c>
      <c r="AW48" s="22">
        <f t="array" ref="AW48"> SUM(INDIRECT(ADDRESS(expenses_min_row,COLUMN())&amp;":"&amp;ADDRESS(expenses_max_row,COLUMN())))</f>
        <v/>
      </c>
      <c r="AX48" s="22">
        <f t="array" ref="AX48"> SUM(INDIRECT(ADDRESS(expenses_min_row,COLUMN())&amp;":"&amp;ADDRESS(expenses_max_row,COLUMN())))</f>
        <v/>
      </c>
      <c r="AY48" s="22">
        <f t="array" ref="AY48"> SUM(INDIRECT(ADDRESS(expenses_min_row,COLUMN())&amp;":"&amp;ADDRESS(expenses_max_row,COLUMN())))</f>
        <v/>
      </c>
      <c r="AZ48" s="22">
        <f t="array" ref="AZ48"> SUM(INDIRECT(ADDRESS(expenses_min_row,COLUMN())&amp;":"&amp;ADDRESS(expenses_max_row,COLUMN())))</f>
        <v/>
      </c>
      <c r="BA48" s="22">
        <f t="array" ref="BA48"> SUM(INDIRECT(ADDRESS(expenses_min_row,COLUMN())&amp;":"&amp;ADDRESS(expenses_max_row,COLUMN())))</f>
        <v/>
      </c>
      <c r="BB48" s="22">
        <f t="array" ref="BB48"> SUM(INDIRECT(ADDRESS(expenses_min_row,COLUMN())&amp;":"&amp;ADDRESS(expenses_max_row,COLUMN())))</f>
        <v/>
      </c>
      <c r="BC48" s="22">
        <f t="array" ref="BC48"> SUM(INDIRECT(ADDRESS(expenses_min_row,COLUMN())&amp;":"&amp;ADDRESS(expenses_max_row,COLUMN())))</f>
        <v/>
      </c>
      <c r="BD48" s="22">
        <f t="array" ref="BD48"> SUM(INDIRECT(ADDRESS(expenses_min_row,COLUMN())&amp;":"&amp;ADDRESS(expenses_max_row,COLUMN())))</f>
        <v/>
      </c>
      <c r="BE48" s="22">
        <f t="array" ref="BE48"> SUM(INDIRECT(ADDRESS(expenses_min_row,COLUMN())&amp;":"&amp;ADDRESS(expenses_max_row,COLUMN())))</f>
        <v/>
      </c>
      <c r="BF48" s="22">
        <f t="array" ref="BF48"> SUM(INDIRECT(ADDRESS(expenses_min_row,COLUMN())&amp;":"&amp;ADDRESS(expenses_max_row,COLUMN())))</f>
        <v/>
      </c>
      <c r="BG48" s="22">
        <f t="array" ref="BG48"> SUM(INDIRECT(ADDRESS(expenses_min_row,COLUMN())&amp;":"&amp;ADDRESS(expenses_max_row,COLUMN())))</f>
        <v/>
      </c>
      <c r="BI48" s="22">
        <f t="array" ref="BI48"> SUM(INDIRECT(ADDRESS(expenses_min_row,COLUMN())&amp;":"&amp;ADDRESS(expenses_max_row,COLUMN())))</f>
        <v/>
      </c>
      <c r="BJ48" s="22">
        <f t="array" ref="BJ48"> SUM(INDIRECT(ADDRESS(expenses_min_row,COLUMN())&amp;":"&amp;ADDRESS(expenses_max_row,COLUMN())))</f>
        <v/>
      </c>
      <c r="BK48" s="22">
        <f t="array" ref="BK48"> SUM(INDIRECT(ADDRESS(expenses_min_row,COLUMN())&amp;":"&amp;ADDRESS(expenses_max_row,COLUMN())))</f>
        <v/>
      </c>
      <c r="BL48" s="22">
        <f t="array" ref="BL48"> SUM(INDIRECT(ADDRESS(expenses_min_row,COLUMN())&amp;":"&amp;ADDRESS(expenses_max_row,COLUMN())))</f>
        <v/>
      </c>
      <c r="BM48" s="22">
        <f t="array" ref="BM48"> SUM(INDIRECT(ADDRESS(expenses_min_row,COLUMN())&amp;":"&amp;ADDRESS(expenses_max_row,COLUMN())))</f>
        <v/>
      </c>
      <c r="BN48" s="22">
        <f t="array" ref="BN48"> SUM(INDIRECT(ADDRESS(expenses_min_row,COLUMN())&amp;":"&amp;ADDRESS(expenses_max_row,COLUMN())))</f>
        <v/>
      </c>
      <c r="BO48" s="22">
        <f t="array" ref="BO48"> SUM(INDIRECT(ADDRESS(expenses_min_row,COLUMN())&amp;":"&amp;ADDRESS(expenses_max_row,COLUMN())))</f>
        <v/>
      </c>
      <c r="BP48" s="22">
        <f t="array" ref="BP48"> SUM(INDIRECT(ADDRESS(expenses_min_row,COLUMN())&amp;":"&amp;ADDRESS(expenses_max_row,COLUMN())))</f>
        <v/>
      </c>
      <c r="BQ48" s="22">
        <f t="array" ref="BQ48"> SUM(INDIRECT(ADDRESS(expenses_min_row,COLUMN())&amp;":"&amp;ADDRESS(expenses_max_row,COLUMN())))</f>
        <v/>
      </c>
      <c r="BR48" s="22">
        <f t="array" ref="BR48"> SUM(INDIRECT(ADDRESS(expenses_min_row,COLUMN())&amp;":"&amp;ADDRESS(expenses_max_row,COLUMN())))</f>
        <v/>
      </c>
      <c r="BS48" s="22">
        <f t="array" ref="BS48"> SUM(INDIRECT(ADDRESS(expenses_min_row,COLUMN())&amp;":"&amp;ADDRESS(expenses_max_row,COLUMN())))</f>
        <v/>
      </c>
      <c r="BT48" s="22">
        <f t="array" ref="BT48"> SUM(INDIRECT(ADDRESS(expenses_min_row,COLUMN())&amp;":"&amp;ADDRESS(expenses_max_row,COLUMN())))</f>
        <v/>
      </c>
      <c r="BU48" s="22">
        <f t="array" ref="BU48"> SUM(INDIRECT(ADDRESS(expenses_min_row,COLUMN())&amp;":"&amp;ADDRESS(expenses_max_row,COLUMN())))</f>
        <v/>
      </c>
      <c r="BW48" s="22">
        <f t="array" ref="BW48"> SUM(INDIRECT(ADDRESS(expenses_min_row,COLUMN())&amp;":"&amp;ADDRESS(expenses_max_row,COLUMN())))</f>
        <v/>
      </c>
      <c r="BX48" s="22">
        <f t="array" ref="BX48"> SUM(INDIRECT(ADDRESS(expenses_min_row,COLUMN())&amp;":"&amp;ADDRESS(expenses_max_row,COLUMN())))</f>
        <v/>
      </c>
      <c r="BY48" s="22">
        <f t="array" ref="BY48"> SUM(INDIRECT(ADDRESS(expenses_min_row,COLUMN())&amp;":"&amp;ADDRESS(expenses_max_row,COLUMN())))</f>
        <v/>
      </c>
      <c r="BZ48" s="22">
        <f t="array" ref="BZ48"> SUM(INDIRECT(ADDRESS(expenses_min_row,COLUMN())&amp;":"&amp;ADDRESS(expenses_max_row,COLUMN())))</f>
        <v/>
      </c>
      <c r="CA48" s="22">
        <f t="array" ref="CA48"> SUM(INDIRECT(ADDRESS(expenses_min_row,COLUMN())&amp;":"&amp;ADDRESS(expenses_max_row,COLUMN())))</f>
        <v/>
      </c>
      <c r="CB48" s="22">
        <f t="array" ref="CB48"> SUM(INDIRECT(ADDRESS(expenses_min_row,COLUMN())&amp;":"&amp;ADDRESS(expenses_max_row,COLUMN())))</f>
        <v/>
      </c>
      <c r="CC48" s="22">
        <f t="array" ref="CC48"> SUM(INDIRECT(ADDRESS(expenses_min_row,COLUMN())&amp;":"&amp;ADDRESS(expenses_max_row,COLUMN())))</f>
        <v/>
      </c>
      <c r="CD48" s="22">
        <f t="array" ref="CD48"> SUM(INDIRECT(ADDRESS(expenses_min_row,COLUMN())&amp;":"&amp;ADDRESS(expenses_max_row,COLUMN())))</f>
        <v/>
      </c>
      <c r="CE48" s="22">
        <f t="array" ref="CE48"> SUM(INDIRECT(ADDRESS(expenses_min_row,COLUMN())&amp;":"&amp;ADDRESS(expenses_max_row,COLUMN())))</f>
        <v/>
      </c>
      <c r="CF48" s="22">
        <f t="array" ref="CF48"> SUM(INDIRECT(ADDRESS(expenses_min_row,COLUMN())&amp;":"&amp;ADDRESS(expenses_max_row,COLUMN())))</f>
        <v/>
      </c>
      <c r="CG48" s="22">
        <f t="array" ref="CG48"> SUM(INDIRECT(ADDRESS(expenses_min_row,COLUMN())&amp;":"&amp;ADDRESS(expenses_max_row,COLUMN())))</f>
        <v/>
      </c>
      <c r="CH48" s="22">
        <f t="array" ref="CH48"> SUM(INDIRECT(ADDRESS(expenses_min_row,COLUMN())&amp;":"&amp;ADDRESS(expenses_max_row,COLUMN())))</f>
        <v/>
      </c>
      <c r="CI48" s="22">
        <f t="array" ref="CI48"> SUM(INDIRECT(ADDRESS(expenses_min_row,COLUMN())&amp;":"&amp;ADDRESS(expenses_max_row,COLUMN())))</f>
        <v/>
      </c>
      <c r="CK48" s="22">
        <f t="array" ref="CK48"> SUM(INDIRECT(ADDRESS(expenses_min_row,COLUMN())&amp;":"&amp;ADDRESS(expenses_max_row,COLUMN())))</f>
        <v/>
      </c>
      <c r="CL48" s="22">
        <f t="array" ref="CL48"> SUM(INDIRECT(ADDRESS(expenses_min_row,COLUMN())&amp;":"&amp;ADDRESS(expenses_max_row,COLUMN())))</f>
        <v/>
      </c>
      <c r="CM48" s="22">
        <f t="array" ref="CM48"> SUM(INDIRECT(ADDRESS(expenses_min_row,COLUMN())&amp;":"&amp;ADDRESS(expenses_max_row,COLUMN())))</f>
        <v/>
      </c>
      <c r="CN48" s="22">
        <f t="array" ref="CN48"> SUM(INDIRECT(ADDRESS(expenses_min_row,COLUMN())&amp;":"&amp;ADDRESS(expenses_max_row,COLUMN())))</f>
        <v/>
      </c>
      <c r="CO48" s="22">
        <f t="array" ref="CO48"> SUM(INDIRECT(ADDRESS(expenses_min_row,COLUMN())&amp;":"&amp;ADDRESS(expenses_max_row,COLUMN())))</f>
        <v/>
      </c>
      <c r="CP48" s="22">
        <f t="array" ref="CP48"> SUM(INDIRECT(ADDRESS(expenses_min_row,COLUMN())&amp;":"&amp;ADDRESS(expenses_max_row,COLUMN())))</f>
        <v/>
      </c>
      <c r="CQ48" s="22">
        <f t="array" ref="CQ48"> SUM(INDIRECT(ADDRESS(expenses_min_row,COLUMN())&amp;":"&amp;ADDRESS(expenses_max_row,COLUMN())))</f>
        <v/>
      </c>
      <c r="CR48" s="22">
        <f t="array" ref="CR48"> SUM(INDIRECT(ADDRESS(expenses_min_row,COLUMN())&amp;":"&amp;ADDRESS(expenses_max_row,COLUMN())))</f>
        <v/>
      </c>
      <c r="CS48" s="22">
        <f t="array" ref="CS48"> SUM(INDIRECT(ADDRESS(expenses_min_row,COLUMN())&amp;":"&amp;ADDRESS(expenses_max_row,COLUMN())))</f>
        <v/>
      </c>
      <c r="CT48" s="22">
        <f t="array" ref="CT48"> SUM(INDIRECT(ADDRESS(expenses_min_row,COLUMN())&amp;":"&amp;ADDRESS(expenses_max_row,COLUMN())))</f>
        <v/>
      </c>
      <c r="CU48" s="22">
        <f t="array" ref="CU48"> SUM(INDIRECT(ADDRESS(expenses_min_row,COLUMN())&amp;":"&amp;ADDRESS(expenses_max_row,COLUMN())))</f>
        <v/>
      </c>
      <c r="CV48" s="22">
        <f t="array" ref="CV48"> SUM(INDIRECT(ADDRESS(expenses_min_row,COLUMN())&amp;":"&amp;ADDRESS(expenses_max_row,COLUMN())))</f>
        <v/>
      </c>
      <c r="CW48" s="22">
        <f t="array" ref="CW48"> SUM(INDIRECT(ADDRESS(expenses_min_row,COLUMN())&amp;":"&amp;ADDRESS(expenses_max_row,COLUMN())))</f>
        <v/>
      </c>
      <c r="CY48" s="22">
        <f t="array" ref="CY48"> SUM(INDIRECT(ADDRESS(expenses_min_row,COLUMN())&amp;":"&amp;ADDRESS(expenses_max_row,COLUMN())))</f>
        <v/>
      </c>
      <c r="CZ48" s="22">
        <f t="array" ref="CZ48"> SUM(INDIRECT(ADDRESS(expenses_min_row,COLUMN())&amp;":"&amp;ADDRESS(expenses_max_row,COLUMN())))</f>
        <v/>
      </c>
      <c r="DA48" s="22">
        <f t="array" ref="DA48"> SUM(INDIRECT(ADDRESS(expenses_min_row,COLUMN())&amp;":"&amp;ADDRESS(expenses_max_row,COLUMN())))</f>
        <v/>
      </c>
      <c r="DB48" s="22">
        <f t="array" ref="DB48"> SUM(INDIRECT(ADDRESS(expenses_min_row,COLUMN())&amp;":"&amp;ADDRESS(expenses_max_row,COLUMN())))</f>
        <v/>
      </c>
      <c r="DC48" s="22">
        <f t="array" ref="DC48"> SUM(INDIRECT(ADDRESS(expenses_min_row,COLUMN())&amp;":"&amp;ADDRESS(expenses_max_row,COLUMN())))</f>
        <v/>
      </c>
      <c r="DD48" s="22">
        <f t="array" ref="DD48"> SUM(INDIRECT(ADDRESS(expenses_min_row,COLUMN())&amp;":"&amp;ADDRESS(expenses_max_row,COLUMN())))</f>
        <v/>
      </c>
      <c r="DE48" s="22">
        <f t="array" ref="DE48"> SUM(INDIRECT(ADDRESS(expenses_min_row,COLUMN())&amp;":"&amp;ADDRESS(expenses_max_row,COLUMN())))</f>
        <v/>
      </c>
      <c r="DF48" s="22">
        <f t="array" ref="DF48"> SUM(INDIRECT(ADDRESS(expenses_min_row,COLUMN())&amp;":"&amp;ADDRESS(expenses_max_row,COLUMN())))</f>
        <v/>
      </c>
      <c r="DG48" s="22">
        <f t="array" ref="DG48"> SUM(INDIRECT(ADDRESS(expenses_min_row,COLUMN())&amp;":"&amp;ADDRESS(expenses_max_row,COLUMN())))</f>
        <v/>
      </c>
      <c r="DH48" s="22">
        <f t="array" ref="DH48"> SUM(INDIRECT(ADDRESS(expenses_min_row,COLUMN())&amp;":"&amp;ADDRESS(expenses_max_row,COLUMN())))</f>
        <v/>
      </c>
      <c r="DI48" s="22">
        <f t="array" ref="DI48"> SUM(INDIRECT(ADDRESS(expenses_min_row,COLUMN())&amp;":"&amp;ADDRESS(expenses_max_row,COLUMN())))</f>
        <v/>
      </c>
      <c r="DJ48" s="22">
        <f t="array" ref="DJ48"> SUM(INDIRECT(ADDRESS(expenses_min_row,COLUMN())&amp;":"&amp;ADDRESS(expenses_max_row,COLUMN())))</f>
        <v/>
      </c>
      <c r="DK48" s="22">
        <f t="array" ref="DK48"> SUM(INDIRECT(ADDRESS(expenses_min_row,COLUMN())&amp;":"&amp;ADDRESS(expenses_max_row,COLUMN())))</f>
        <v/>
      </c>
      <c r="DM48" s="22">
        <f t="array" ref="DM48"> SUM(INDIRECT(ADDRESS(expenses_min_row,COLUMN())&amp;":"&amp;ADDRESS(expenses_max_row,COLUMN())))</f>
        <v/>
      </c>
      <c r="DN48" s="22">
        <f t="array" ref="DN48"> SUM(INDIRECT(ADDRESS(expenses_min_row,COLUMN())&amp;":"&amp;ADDRESS(expenses_max_row,COLUMN())))</f>
        <v/>
      </c>
      <c r="DO48" s="22">
        <f t="array" ref="DO48"> SUM(INDIRECT(ADDRESS(expenses_min_row,COLUMN())&amp;":"&amp;ADDRESS(expenses_max_row,COLUMN())))</f>
        <v/>
      </c>
      <c r="DP48" s="22">
        <f t="array" ref="DP48"> SUM(INDIRECT(ADDRESS(expenses_min_row,COLUMN())&amp;":"&amp;ADDRESS(expenses_max_row,COLUMN())))</f>
        <v/>
      </c>
      <c r="DQ48" s="22">
        <f t="array" ref="DQ48"> SUM(INDIRECT(ADDRESS(expenses_min_row,COLUMN())&amp;":"&amp;ADDRESS(expenses_max_row,COLUMN())))</f>
        <v/>
      </c>
      <c r="DR48" s="22">
        <f t="array" ref="DR48"> SUM(INDIRECT(ADDRESS(expenses_min_row,COLUMN())&amp;":"&amp;ADDRESS(expenses_max_row,COLUMN())))</f>
        <v/>
      </c>
      <c r="DS48" s="22">
        <f t="array" ref="DS48"> SUM(INDIRECT(ADDRESS(expenses_min_row,COLUMN())&amp;":"&amp;ADDRESS(expenses_max_row,COLUMN())))</f>
        <v/>
      </c>
      <c r="DT48" s="22">
        <f t="array" ref="DT48"> SUM(INDIRECT(ADDRESS(expenses_min_row,COLUMN())&amp;":"&amp;ADDRESS(expenses_max_row,COLUMN())))</f>
        <v/>
      </c>
      <c r="DU48" s="22">
        <f t="array" ref="DU48"> SUM(INDIRECT(ADDRESS(expenses_min_row,COLUMN())&amp;":"&amp;ADDRESS(expenses_max_row,COLUMN())))</f>
        <v/>
      </c>
      <c r="DV48" s="22">
        <f t="array" ref="DV48"> SUM(INDIRECT(ADDRESS(expenses_min_row,COLUMN())&amp;":"&amp;ADDRESS(expenses_max_row,COLUMN())))</f>
        <v/>
      </c>
      <c r="DW48" s="22">
        <f t="array" ref="DW48"> SUM(INDIRECT(ADDRESS(expenses_min_row,COLUMN())&amp;":"&amp;ADDRESS(expenses_max_row,COLUMN())))</f>
        <v/>
      </c>
      <c r="DX48" s="22">
        <f t="array" ref="DX48"> SUM(INDIRECT(ADDRESS(expenses_min_row,COLUMN())&amp;":"&amp;ADDRESS(expenses_max_row,COLUMN())))</f>
        <v/>
      </c>
      <c r="DY48" s="22">
        <f t="array" ref="DY48"> SUM(INDIRECT(ADDRESS(expenses_min_row,COLUMN())&amp;":"&amp;ADDRESS(expenses_max_row,COLUMN())))</f>
        <v/>
      </c>
      <c r="EA48" s="22">
        <f t="array" ref="EA48"> SUM(INDIRECT(ADDRESS(expenses_min_row,COLUMN())&amp;":"&amp;ADDRESS(expenses_max_row,COLUMN())))</f>
        <v/>
      </c>
      <c r="EB48" s="22">
        <f t="array" ref="EB48"> SUM(INDIRECT(ADDRESS(expenses_min_row,COLUMN())&amp;":"&amp;ADDRESS(expenses_max_row,COLUMN())))</f>
        <v/>
      </c>
      <c r="EC48" s="22">
        <f t="array" ref="EC48"> SUM(INDIRECT(ADDRESS(expenses_min_row,COLUMN())&amp;":"&amp;ADDRESS(expenses_max_row,COLUMN())))</f>
        <v/>
      </c>
      <c r="ED48" s="22">
        <f t="array" ref="ED48"> SUM(INDIRECT(ADDRESS(expenses_min_row,COLUMN())&amp;":"&amp;ADDRESS(expenses_max_row,COLUMN())))</f>
        <v/>
      </c>
      <c r="EE48" s="22">
        <f t="array" ref="EE48"> SUM(INDIRECT(ADDRESS(expenses_min_row,COLUMN())&amp;":"&amp;ADDRESS(expenses_max_row,COLUMN())))</f>
        <v/>
      </c>
      <c r="EF48" s="22">
        <f t="array" ref="EF48"> SUM(INDIRECT(ADDRESS(expenses_min_row,COLUMN())&amp;":"&amp;ADDRESS(expenses_max_row,COLUMN())))</f>
        <v/>
      </c>
      <c r="EG48" s="22">
        <f t="array" ref="EG48"> SUM(INDIRECT(ADDRESS(expenses_min_row,COLUMN())&amp;":"&amp;ADDRESS(expenses_max_row,COLUMN())))</f>
        <v/>
      </c>
      <c r="EH48" s="22">
        <f t="array" ref="EH48"> SUM(INDIRECT(ADDRESS(expenses_min_row,COLUMN())&amp;":"&amp;ADDRESS(expenses_max_row,COLUMN())))</f>
        <v/>
      </c>
      <c r="EI48" s="22">
        <f t="array" ref="EI48"> SUM(INDIRECT(ADDRESS(expenses_min_row,COLUMN())&amp;":"&amp;ADDRESS(expenses_max_row,COLUMN())))</f>
        <v/>
      </c>
      <c r="EJ48" s="22">
        <f t="array" ref="EJ48"> SUM(INDIRECT(ADDRESS(expenses_min_row,COLUMN())&amp;":"&amp;ADDRESS(expenses_max_row,COLUMN())))</f>
        <v/>
      </c>
      <c r="EK48" s="22">
        <f t="array" ref="EK48"> SUM(INDIRECT(ADDRESS(expenses_min_row,COLUMN())&amp;":"&amp;ADDRESS(expenses_max_row,COLUMN())))</f>
        <v/>
      </c>
      <c r="EL48" s="22">
        <f t="array" ref="EL48"> SUM(INDIRECT(ADDRESS(expenses_min_row,COLUMN())&amp;":"&amp;ADDRESS(expenses_max_row,COLUMN())))</f>
        <v/>
      </c>
      <c r="EM48" s="22">
        <f t="array" ref="EM48"> SUM(INDIRECT(ADDRESS(expenses_min_row,COLUMN())&amp;":"&amp;ADDRESS(expenses_max_row,COLUMN())))</f>
        <v/>
      </c>
    </row>
    <row r="49">
      <c r="C49" s="20" t="n"/>
    </row>
    <row r="50">
      <c r="C50" s="24" t="inlineStr">
        <is>
          <t>Savings</t>
        </is>
      </c>
      <c r="E50" s="27">
        <f> DATE(E$5,1,1)</f>
        <v/>
      </c>
      <c r="F50" s="27">
        <f> DATE(E$5,2,1)</f>
        <v/>
      </c>
      <c r="G50" s="27">
        <f> DATE(E$5,3,1)</f>
        <v/>
      </c>
      <c r="H50" s="27">
        <f> DATE(E$5,4,1)</f>
        <v/>
      </c>
      <c r="I50" s="27">
        <f> DATE(E$5,5,1)</f>
        <v/>
      </c>
      <c r="J50" s="27">
        <f> DATE(E$5,6,1)</f>
        <v/>
      </c>
      <c r="K50" s="27">
        <f> DATE(E$5,7,1)</f>
        <v/>
      </c>
      <c r="L50" s="27">
        <f> DATE(E$5,8,1)</f>
        <v/>
      </c>
      <c r="M50" s="27">
        <f> DATE(E$5,9,1)</f>
        <v/>
      </c>
      <c r="N50" s="27">
        <f> DATE(E$5,10,1)</f>
        <v/>
      </c>
      <c r="O50" s="27">
        <f> DATE(E$5,11,1)</f>
        <v/>
      </c>
      <c r="P50" s="27">
        <f> DATE(E$5,12,1)</f>
        <v/>
      </c>
      <c r="Q50" s="28">
        <f>E$5</f>
        <v/>
      </c>
      <c r="S50" s="27">
        <f> DATE(S$5,1,1)</f>
        <v/>
      </c>
      <c r="T50" s="27">
        <f> DATE(S$5,2,1)</f>
        <v/>
      </c>
      <c r="U50" s="27">
        <f> DATE(S$5,3,1)</f>
        <v/>
      </c>
      <c r="V50" s="27">
        <f> DATE(S$5,4,1)</f>
        <v/>
      </c>
      <c r="W50" s="27">
        <f> DATE(S$5,5,1)</f>
        <v/>
      </c>
      <c r="X50" s="27">
        <f> DATE(S$5,6,1)</f>
        <v/>
      </c>
      <c r="Y50" s="27">
        <f> DATE(S$5,7,1)</f>
        <v/>
      </c>
      <c r="Z50" s="27">
        <f> DATE(S$5,8,1)</f>
        <v/>
      </c>
      <c r="AA50" s="27">
        <f> DATE(S$5,9,1)</f>
        <v/>
      </c>
      <c r="AB50" s="27">
        <f> DATE(S$5,10,1)</f>
        <v/>
      </c>
      <c r="AC50" s="27">
        <f> DATE(S$5,11,1)</f>
        <v/>
      </c>
      <c r="AD50" s="27">
        <f> DATE(S$5,12,1)</f>
        <v/>
      </c>
      <c r="AE50" s="28">
        <f>S$5</f>
        <v/>
      </c>
      <c r="AG50" s="27">
        <f> DATE(AG$5,1,1)</f>
        <v/>
      </c>
      <c r="AH50" s="27">
        <f> DATE(AG$5,2,1)</f>
        <v/>
      </c>
      <c r="AI50" s="27">
        <f> DATE(AG$5,3,1)</f>
        <v/>
      </c>
      <c r="AJ50" s="27">
        <f> DATE(AG$5,4,1)</f>
        <v/>
      </c>
      <c r="AK50" s="27">
        <f> DATE(AG$5,5,1)</f>
        <v/>
      </c>
      <c r="AL50" s="27">
        <f> DATE(AG$5,6,1)</f>
        <v/>
      </c>
      <c r="AM50" s="27">
        <f> DATE(AG$5,7,1)</f>
        <v/>
      </c>
      <c r="AN50" s="27">
        <f> DATE(AG$5,8,1)</f>
        <v/>
      </c>
      <c r="AO50" s="27">
        <f> DATE(AG$5,9,1)</f>
        <v/>
      </c>
      <c r="AP50" s="27">
        <f> DATE(AG$5,10,1)</f>
        <v/>
      </c>
      <c r="AQ50" s="27">
        <f> DATE(AG$5,11,1)</f>
        <v/>
      </c>
      <c r="AR50" s="27">
        <f> DATE(AG$5,12,1)</f>
        <v/>
      </c>
      <c r="AS50" s="28">
        <f>AG$5</f>
        <v/>
      </c>
      <c r="AU50" s="27">
        <f> DATE(AU$5,1,1)</f>
        <v/>
      </c>
      <c r="AV50" s="27">
        <f> DATE(AU$5,2,1)</f>
        <v/>
      </c>
      <c r="AW50" s="27">
        <f> DATE(AU$5,3,1)</f>
        <v/>
      </c>
      <c r="AX50" s="27">
        <f> DATE(AU$5,4,1)</f>
        <v/>
      </c>
      <c r="AY50" s="27">
        <f> DATE(AU$5,5,1)</f>
        <v/>
      </c>
      <c r="AZ50" s="27">
        <f> DATE(AU$5,6,1)</f>
        <v/>
      </c>
      <c r="BA50" s="27">
        <f> DATE(AU$5,7,1)</f>
        <v/>
      </c>
      <c r="BB50" s="27">
        <f> DATE(AU$5,8,1)</f>
        <v/>
      </c>
      <c r="BC50" s="27">
        <f> DATE(AU$5,9,1)</f>
        <v/>
      </c>
      <c r="BD50" s="27">
        <f> DATE(AU$5,10,1)</f>
        <v/>
      </c>
      <c r="BE50" s="27">
        <f> DATE(AU$5,11,1)</f>
        <v/>
      </c>
      <c r="BF50" s="27">
        <f> DATE(AU$5,12,1)</f>
        <v/>
      </c>
      <c r="BG50" s="28">
        <f>AU$5</f>
        <v/>
      </c>
      <c r="BI50" s="27">
        <f> DATE(BI$5,1,1)</f>
        <v/>
      </c>
      <c r="BJ50" s="27">
        <f> DATE(BI$5,2,1)</f>
        <v/>
      </c>
      <c r="BK50" s="27">
        <f> DATE(BI$5,3,1)</f>
        <v/>
      </c>
      <c r="BL50" s="27">
        <f> DATE(BI$5,4,1)</f>
        <v/>
      </c>
      <c r="BM50" s="27">
        <f> DATE(BI$5,5,1)</f>
        <v/>
      </c>
      <c r="BN50" s="27">
        <f> DATE(BI$5,6,1)</f>
        <v/>
      </c>
      <c r="BO50" s="27">
        <f> DATE(BI$5,7,1)</f>
        <v/>
      </c>
      <c r="BP50" s="27">
        <f> DATE(BI$5,8,1)</f>
        <v/>
      </c>
      <c r="BQ50" s="27">
        <f> DATE(BI$5,9,1)</f>
        <v/>
      </c>
      <c r="BR50" s="27">
        <f> DATE(BI$5,10,1)</f>
        <v/>
      </c>
      <c r="BS50" s="27">
        <f> DATE(BI$5,11,1)</f>
        <v/>
      </c>
      <c r="BT50" s="27">
        <f> DATE(BI$5,12,1)</f>
        <v/>
      </c>
      <c r="BU50" s="28">
        <f>BI$5</f>
        <v/>
      </c>
      <c r="BW50" s="27">
        <f> DATE(BW$5,1,1)</f>
        <v/>
      </c>
      <c r="BX50" s="27">
        <f> DATE(BW$5,2,1)</f>
        <v/>
      </c>
      <c r="BY50" s="27">
        <f> DATE(BW$5,3,1)</f>
        <v/>
      </c>
      <c r="BZ50" s="27">
        <f> DATE(BW$5,4,1)</f>
        <v/>
      </c>
      <c r="CA50" s="27">
        <f> DATE(BW$5,5,1)</f>
        <v/>
      </c>
      <c r="CB50" s="27">
        <f> DATE(BW$5,6,1)</f>
        <v/>
      </c>
      <c r="CC50" s="27">
        <f> DATE(BW$5,7,1)</f>
        <v/>
      </c>
      <c r="CD50" s="27">
        <f> DATE(BW$5,8,1)</f>
        <v/>
      </c>
      <c r="CE50" s="27">
        <f> DATE(BW$5,9,1)</f>
        <v/>
      </c>
      <c r="CF50" s="27">
        <f> DATE(BW$5,10,1)</f>
        <v/>
      </c>
      <c r="CG50" s="27">
        <f> DATE(BW$5,11,1)</f>
        <v/>
      </c>
      <c r="CH50" s="27">
        <f> DATE(BW$5,12,1)</f>
        <v/>
      </c>
      <c r="CI50" s="28">
        <f>BW$5</f>
        <v/>
      </c>
      <c r="CK50" s="27">
        <f> DATE(CK$5,1,1)</f>
        <v/>
      </c>
      <c r="CL50" s="27">
        <f> DATE(CK$5,2,1)</f>
        <v/>
      </c>
      <c r="CM50" s="27">
        <f> DATE(CK$5,3,1)</f>
        <v/>
      </c>
      <c r="CN50" s="27">
        <f> DATE(CK$5,4,1)</f>
        <v/>
      </c>
      <c r="CO50" s="27">
        <f> DATE(CK$5,5,1)</f>
        <v/>
      </c>
      <c r="CP50" s="27">
        <f> DATE(CK$5,6,1)</f>
        <v/>
      </c>
      <c r="CQ50" s="27">
        <f> DATE(CK$5,7,1)</f>
        <v/>
      </c>
      <c r="CR50" s="27">
        <f> DATE(CK$5,8,1)</f>
        <v/>
      </c>
      <c r="CS50" s="27">
        <f> DATE(CK$5,9,1)</f>
        <v/>
      </c>
      <c r="CT50" s="27">
        <f> DATE(CK$5,10,1)</f>
        <v/>
      </c>
      <c r="CU50" s="27">
        <f> DATE(CK$5,11,1)</f>
        <v/>
      </c>
      <c r="CV50" s="27">
        <f> DATE(CK$5,12,1)</f>
        <v/>
      </c>
      <c r="CW50" s="28">
        <f>CK$5</f>
        <v/>
      </c>
      <c r="CY50" s="27">
        <f> DATE(CY$5,1,1)</f>
        <v/>
      </c>
      <c r="CZ50" s="27">
        <f> DATE(CY$5,2,1)</f>
        <v/>
      </c>
      <c r="DA50" s="27">
        <f> DATE(CY$5,3,1)</f>
        <v/>
      </c>
      <c r="DB50" s="27">
        <f> DATE(CY$5,4,1)</f>
        <v/>
      </c>
      <c r="DC50" s="27">
        <f> DATE(CY$5,5,1)</f>
        <v/>
      </c>
      <c r="DD50" s="27">
        <f> DATE(CY$5,6,1)</f>
        <v/>
      </c>
      <c r="DE50" s="27">
        <f> DATE(CY$5,7,1)</f>
        <v/>
      </c>
      <c r="DF50" s="27">
        <f> DATE(CY$5,8,1)</f>
        <v/>
      </c>
      <c r="DG50" s="27">
        <f> DATE(CY$5,9,1)</f>
        <v/>
      </c>
      <c r="DH50" s="27">
        <f> DATE(CY$5,10,1)</f>
        <v/>
      </c>
      <c r="DI50" s="27">
        <f> DATE(CY$5,11,1)</f>
        <v/>
      </c>
      <c r="DJ50" s="27">
        <f> DATE(CY$5,12,1)</f>
        <v/>
      </c>
      <c r="DK50" s="28">
        <f>CY$5</f>
        <v/>
      </c>
      <c r="DM50" s="27">
        <f> DATE(DM$5,1,1)</f>
        <v/>
      </c>
      <c r="DN50" s="27">
        <f> DATE(DM$5,2,1)</f>
        <v/>
      </c>
      <c r="DO50" s="27">
        <f> DATE(DM$5,3,1)</f>
        <v/>
      </c>
      <c r="DP50" s="27">
        <f> DATE(DM$5,4,1)</f>
        <v/>
      </c>
      <c r="DQ50" s="27">
        <f> DATE(DM$5,5,1)</f>
        <v/>
      </c>
      <c r="DR50" s="27">
        <f> DATE(DM$5,6,1)</f>
        <v/>
      </c>
      <c r="DS50" s="27">
        <f> DATE(DM$5,7,1)</f>
        <v/>
      </c>
      <c r="DT50" s="27">
        <f> DATE(DM$5,8,1)</f>
        <v/>
      </c>
      <c r="DU50" s="27">
        <f> DATE(DM$5,9,1)</f>
        <v/>
      </c>
      <c r="DV50" s="27">
        <f> DATE(DM$5,10,1)</f>
        <v/>
      </c>
      <c r="DW50" s="27">
        <f> DATE(DM$5,11,1)</f>
        <v/>
      </c>
      <c r="DX50" s="27">
        <f> DATE(DM$5,12,1)</f>
        <v/>
      </c>
      <c r="DY50" s="28">
        <f>DM$5</f>
        <v/>
      </c>
      <c r="EA50" s="27">
        <f> DATE(EA$5,1,1)</f>
        <v/>
      </c>
      <c r="EB50" s="27">
        <f> DATE(EA$5,2,1)</f>
        <v/>
      </c>
      <c r="EC50" s="27">
        <f> DATE(EA$5,3,1)</f>
        <v/>
      </c>
      <c r="ED50" s="27">
        <f> DATE(EA$5,4,1)</f>
        <v/>
      </c>
      <c r="EE50" s="27">
        <f> DATE(EA$5,5,1)</f>
        <v/>
      </c>
      <c r="EF50" s="27">
        <f> DATE(EA$5,6,1)</f>
        <v/>
      </c>
      <c r="EG50" s="27">
        <f> DATE(EA$5,7,1)</f>
        <v/>
      </c>
      <c r="EH50" s="27">
        <f> DATE(EA$5,8,1)</f>
        <v/>
      </c>
      <c r="EI50" s="27">
        <f> DATE(EA$5,9,1)</f>
        <v/>
      </c>
      <c r="EJ50" s="27">
        <f> DATE(EA$5,10,1)</f>
        <v/>
      </c>
      <c r="EK50" s="27">
        <f> DATE(EA$5,11,1)</f>
        <v/>
      </c>
      <c r="EL50" s="27">
        <f> DATE(EA$5,12,1)</f>
        <v/>
      </c>
      <c r="EM50" s="28">
        <f>EA$5</f>
        <v/>
      </c>
    </row>
    <row r="51">
      <c r="C51" s="20" t="inlineStr">
        <is>
          <t>Emergency Fund</t>
        </is>
      </c>
      <c r="E51" s="21" t="n"/>
      <c r="F51" s="21" t="n"/>
      <c r="G51" s="21" t="n"/>
      <c r="H51" s="21" t="n"/>
      <c r="I51" s="21" t="n"/>
      <c r="J51" s="21" t="n"/>
      <c r="K51" s="21" t="n"/>
      <c r="L51" s="21" t="n"/>
      <c r="M51" s="21" t="n"/>
      <c r="N51" s="21" t="n"/>
      <c r="O51" s="21" t="n"/>
      <c r="P51" s="21" t="n"/>
      <c r="Q51" s="23">
        <f> SUM(E51:P51)</f>
        <v/>
      </c>
      <c r="S51" s="21" t="n">
        <v>3500</v>
      </c>
      <c r="T51" s="21" t="n"/>
      <c r="U51" s="21" t="n"/>
      <c r="V51" s="21" t="n"/>
      <c r="W51" s="21" t="n"/>
      <c r="X51" s="21" t="n"/>
      <c r="Y51" s="21" t="n"/>
      <c r="Z51" s="21" t="n"/>
      <c r="AA51" s="21" t="n"/>
      <c r="AB51" s="21" t="n"/>
      <c r="AC51" s="21" t="n"/>
      <c r="AD51" s="21" t="n"/>
      <c r="AE51" s="23">
        <f> SUM(S51:AD51)</f>
        <v/>
      </c>
      <c r="AG51" s="21" t="n"/>
      <c r="AH51" s="21" t="n"/>
      <c r="AI51" s="21" t="n"/>
      <c r="AJ51" s="21" t="n"/>
      <c r="AK51" s="21" t="n"/>
      <c r="AL51" s="21" t="n"/>
      <c r="AM51" s="21" t="n"/>
      <c r="AN51" s="21" t="n"/>
      <c r="AO51" s="21" t="n"/>
      <c r="AP51" s="21" t="n"/>
      <c r="AQ51" s="21" t="n"/>
      <c r="AR51" s="21" t="n"/>
      <c r="AS51" s="23">
        <f> SUM(AG51:AR51)</f>
        <v/>
      </c>
      <c r="AU51" s="21" t="n"/>
      <c r="AV51" s="21" t="n"/>
      <c r="AW51" s="21" t="n"/>
      <c r="AX51" s="21" t="n"/>
      <c r="AY51" s="21" t="n"/>
      <c r="AZ51" s="21" t="n"/>
      <c r="BA51" s="21" t="n"/>
      <c r="BB51" s="21" t="n"/>
      <c r="BC51" s="21" t="n"/>
      <c r="BD51" s="21" t="n"/>
      <c r="BE51" s="21" t="n"/>
      <c r="BF51" s="21" t="n"/>
      <c r="BG51" s="23">
        <f> SUM(AU51:BF51)</f>
        <v/>
      </c>
      <c r="BI51" s="21" t="n"/>
      <c r="BJ51" s="21" t="n"/>
      <c r="BK51" s="21" t="n"/>
      <c r="BL51" s="21" t="n"/>
      <c r="BM51" s="21" t="n"/>
      <c r="BN51" s="21" t="n"/>
      <c r="BO51" s="21" t="n"/>
      <c r="BP51" s="21" t="n"/>
      <c r="BQ51" s="21" t="n"/>
      <c r="BR51" s="21" t="n"/>
      <c r="BS51" s="21" t="n"/>
      <c r="BT51" s="21" t="n"/>
      <c r="BU51" s="23">
        <f> SUM(BI51:BT51)</f>
        <v/>
      </c>
      <c r="BW51" s="21" t="n"/>
      <c r="BX51" s="21" t="n"/>
      <c r="BY51" s="21" t="n"/>
      <c r="BZ51" s="21" t="n"/>
      <c r="CA51" s="21" t="n"/>
      <c r="CB51" s="21" t="n"/>
      <c r="CC51" s="21" t="n"/>
      <c r="CD51" s="21" t="n"/>
      <c r="CE51" s="21" t="n"/>
      <c r="CF51" s="21" t="n"/>
      <c r="CG51" s="21" t="n"/>
      <c r="CH51" s="21" t="n"/>
      <c r="CI51" s="23">
        <f> SUM(BW51:CH51)</f>
        <v/>
      </c>
      <c r="CK51" s="21" t="n"/>
      <c r="CL51" s="21" t="n"/>
      <c r="CM51" s="21" t="n"/>
      <c r="CN51" s="21" t="n"/>
      <c r="CO51" s="21" t="n"/>
      <c r="CP51" s="21" t="n"/>
      <c r="CQ51" s="21" t="n"/>
      <c r="CR51" s="21" t="n"/>
      <c r="CS51" s="21" t="n"/>
      <c r="CT51" s="21" t="n"/>
      <c r="CU51" s="21" t="n"/>
      <c r="CV51" s="21" t="n"/>
      <c r="CW51" s="23">
        <f> SUM(CK51:CV51)</f>
        <v/>
      </c>
      <c r="CY51" s="21" t="n"/>
      <c r="CZ51" s="21" t="n"/>
      <c r="DA51" s="21" t="n"/>
      <c r="DB51" s="21" t="n"/>
      <c r="DC51" s="21" t="n"/>
      <c r="DD51" s="21" t="n"/>
      <c r="DE51" s="21" t="n"/>
      <c r="DF51" s="21" t="n"/>
      <c r="DG51" s="21" t="n"/>
      <c r="DH51" s="21" t="n"/>
      <c r="DI51" s="21" t="n"/>
      <c r="DJ51" s="21" t="n"/>
      <c r="DK51" s="23">
        <f> SUM(CY51:DJ51)</f>
        <v/>
      </c>
      <c r="DM51" s="21" t="n"/>
      <c r="DN51" s="21" t="n"/>
      <c r="DO51" s="21" t="n"/>
      <c r="DP51" s="21" t="n"/>
      <c r="DQ51" s="21" t="n"/>
      <c r="DR51" s="21" t="n"/>
      <c r="DS51" s="21" t="n"/>
      <c r="DT51" s="21" t="n"/>
      <c r="DU51" s="21" t="n"/>
      <c r="DV51" s="21" t="n"/>
      <c r="DW51" s="21" t="n"/>
      <c r="DX51" s="21" t="n"/>
      <c r="DY51" s="23">
        <f> SUM(DM51:DX51)</f>
        <v/>
      </c>
      <c r="EA51" s="21" t="n"/>
      <c r="EB51" s="21" t="n"/>
      <c r="EC51" s="21" t="n"/>
      <c r="ED51" s="21" t="n"/>
      <c r="EE51" s="21" t="n"/>
      <c r="EF51" s="21" t="n"/>
      <c r="EG51" s="21" t="n"/>
      <c r="EH51" s="21" t="n"/>
      <c r="EI51" s="21" t="n"/>
      <c r="EJ51" s="21" t="n"/>
      <c r="EK51" s="21" t="n"/>
      <c r="EL51" s="21" t="n"/>
      <c r="EM51" s="23">
        <f> SUM(EA51:EL51)</f>
        <v/>
      </c>
    </row>
    <row r="52">
      <c r="C52" s="20" t="inlineStr">
        <is>
          <t>Stock Portfolio</t>
        </is>
      </c>
      <c r="E52" s="21" t="n"/>
      <c r="F52" s="21" t="n"/>
      <c r="G52" s="21" t="n"/>
      <c r="H52" s="21" t="n"/>
      <c r="I52" s="21" t="n"/>
      <c r="J52" s="21" t="n"/>
      <c r="K52" s="21" t="n"/>
      <c r="L52" s="21" t="n"/>
      <c r="M52" s="21" t="n"/>
      <c r="N52" s="21" t="n"/>
      <c r="O52" s="21" t="n"/>
      <c r="P52" s="21" t="n"/>
      <c r="Q52" s="23">
        <f> SUM(E52:P52)</f>
        <v/>
      </c>
      <c r="S52" s="21" t="n"/>
      <c r="T52" s="21" t="n"/>
      <c r="U52" s="21" t="n"/>
      <c r="V52" s="21" t="n"/>
      <c r="W52" s="21" t="n"/>
      <c r="X52" s="21" t="n"/>
      <c r="Y52" s="21" t="n"/>
      <c r="Z52" s="21" t="n"/>
      <c r="AA52" s="21" t="n"/>
      <c r="AB52" s="21" t="n"/>
      <c r="AC52" s="21" t="n"/>
      <c r="AD52" s="21" t="n"/>
      <c r="AE52" s="23">
        <f> SUM(S52:AD52)</f>
        <v/>
      </c>
      <c r="AG52" s="21" t="n"/>
      <c r="AH52" s="21" t="n"/>
      <c r="AI52" s="21" t="n"/>
      <c r="AJ52" s="21" t="n"/>
      <c r="AK52" s="21" t="n"/>
      <c r="AL52" s="21" t="n"/>
      <c r="AM52" s="21" t="n"/>
      <c r="AN52" s="21" t="n"/>
      <c r="AO52" s="21" t="n"/>
      <c r="AP52" s="21" t="n"/>
      <c r="AQ52" s="21" t="n"/>
      <c r="AR52" s="21" t="n"/>
      <c r="AS52" s="23">
        <f> SUM(AG52:AR52)</f>
        <v/>
      </c>
      <c r="AU52" s="21" t="n"/>
      <c r="AV52" s="21" t="n"/>
      <c r="AW52" s="21" t="n"/>
      <c r="AX52" s="21" t="n"/>
      <c r="AY52" s="21" t="n"/>
      <c r="AZ52" s="21" t="n"/>
      <c r="BA52" s="21" t="n"/>
      <c r="BB52" s="21" t="n"/>
      <c r="BC52" s="21" t="n"/>
      <c r="BD52" s="21" t="n"/>
      <c r="BE52" s="21" t="n"/>
      <c r="BF52" s="21" t="n"/>
      <c r="BG52" s="23">
        <f> SUM(AU52:BF52)</f>
        <v/>
      </c>
      <c r="BI52" s="21" t="n"/>
      <c r="BJ52" s="21" t="n"/>
      <c r="BK52" s="21" t="n"/>
      <c r="BL52" s="21" t="n"/>
      <c r="BM52" s="21" t="n"/>
      <c r="BN52" s="21" t="n"/>
      <c r="BO52" s="21" t="n"/>
      <c r="BP52" s="21" t="n"/>
      <c r="BQ52" s="21" t="n"/>
      <c r="BR52" s="21" t="n"/>
      <c r="BS52" s="21" t="n"/>
      <c r="BT52" s="21" t="n"/>
      <c r="BU52" s="23">
        <f> SUM(BI52:BT52)</f>
        <v/>
      </c>
      <c r="BW52" s="21" t="n"/>
      <c r="BX52" s="21" t="n"/>
      <c r="BY52" s="21" t="n"/>
      <c r="BZ52" s="21" t="n"/>
      <c r="CA52" s="21" t="n"/>
      <c r="CB52" s="21" t="n"/>
      <c r="CC52" s="21" t="n"/>
      <c r="CD52" s="21" t="n"/>
      <c r="CE52" s="21" t="n"/>
      <c r="CF52" s="21" t="n"/>
      <c r="CG52" s="21" t="n"/>
      <c r="CH52" s="21" t="n"/>
      <c r="CI52" s="23">
        <f> SUM(BW52:CH52)</f>
        <v/>
      </c>
      <c r="CK52" s="21" t="n"/>
      <c r="CL52" s="21" t="n"/>
      <c r="CM52" s="21" t="n"/>
      <c r="CN52" s="21" t="n"/>
      <c r="CO52" s="21" t="n"/>
      <c r="CP52" s="21" t="n"/>
      <c r="CQ52" s="21" t="n"/>
      <c r="CR52" s="21" t="n"/>
      <c r="CS52" s="21" t="n"/>
      <c r="CT52" s="21" t="n"/>
      <c r="CU52" s="21" t="n"/>
      <c r="CV52" s="21" t="n"/>
      <c r="CW52" s="23">
        <f> SUM(CK52:CV52)</f>
        <v/>
      </c>
      <c r="CY52" s="21" t="n"/>
      <c r="CZ52" s="21" t="n"/>
      <c r="DA52" s="21" t="n"/>
      <c r="DB52" s="21" t="n"/>
      <c r="DC52" s="21" t="n"/>
      <c r="DD52" s="21" t="n"/>
      <c r="DE52" s="21" t="n"/>
      <c r="DF52" s="21" t="n"/>
      <c r="DG52" s="21" t="n"/>
      <c r="DH52" s="21" t="n"/>
      <c r="DI52" s="21" t="n"/>
      <c r="DJ52" s="21" t="n"/>
      <c r="DK52" s="23">
        <f> SUM(CY52:DJ52)</f>
        <v/>
      </c>
      <c r="DM52" s="21" t="n"/>
      <c r="DN52" s="21" t="n"/>
      <c r="DO52" s="21" t="n"/>
      <c r="DP52" s="21" t="n"/>
      <c r="DQ52" s="21" t="n"/>
      <c r="DR52" s="21" t="n"/>
      <c r="DS52" s="21" t="n"/>
      <c r="DT52" s="21" t="n"/>
      <c r="DU52" s="21" t="n"/>
      <c r="DV52" s="21" t="n"/>
      <c r="DW52" s="21" t="n"/>
      <c r="DX52" s="21" t="n"/>
      <c r="DY52" s="23">
        <f> SUM(DM52:DX52)</f>
        <v/>
      </c>
      <c r="EA52" s="21" t="n"/>
      <c r="EB52" s="21" t="n"/>
      <c r="EC52" s="21" t="n"/>
      <c r="ED52" s="21" t="n"/>
      <c r="EE52" s="21" t="n"/>
      <c r="EF52" s="21" t="n"/>
      <c r="EG52" s="21" t="n"/>
      <c r="EH52" s="21" t="n"/>
      <c r="EI52" s="21" t="n"/>
      <c r="EJ52" s="21" t="n"/>
      <c r="EK52" s="21" t="n"/>
      <c r="EL52" s="21" t="n"/>
      <c r="EM52" s="23">
        <f> SUM(EA52:EL52)</f>
        <v/>
      </c>
    </row>
    <row r="53">
      <c r="C53" s="20" t="inlineStr">
        <is>
          <t>401(k)</t>
        </is>
      </c>
      <c r="E53" s="21" t="n"/>
      <c r="F53" s="21" t="n"/>
      <c r="G53" s="21" t="n"/>
      <c r="H53" s="21" t="n"/>
      <c r="I53" s="21" t="n"/>
      <c r="J53" s="21" t="n"/>
      <c r="K53" s="21" t="n"/>
      <c r="L53" s="21" t="n"/>
      <c r="M53" s="21" t="n"/>
      <c r="N53" s="21" t="n"/>
      <c r="O53" s="21" t="n"/>
      <c r="P53" s="21" t="n"/>
      <c r="Q53" s="23">
        <f> SUM(E53:P53)</f>
        <v/>
      </c>
      <c r="S53" s="21" t="n"/>
      <c r="T53" s="21" t="n"/>
      <c r="U53" s="21" t="n"/>
      <c r="V53" s="21" t="n"/>
      <c r="W53" s="21" t="n"/>
      <c r="X53" s="21" t="n"/>
      <c r="Y53" s="21" t="n"/>
      <c r="Z53" s="21" t="n"/>
      <c r="AA53" s="21" t="n"/>
      <c r="AB53" s="21" t="n"/>
      <c r="AC53" s="21" t="n"/>
      <c r="AD53" s="21" t="n"/>
      <c r="AE53" s="23">
        <f> SUM(S53:AD53)</f>
        <v/>
      </c>
      <c r="AG53" s="21" t="n"/>
      <c r="AH53" s="21" t="n"/>
      <c r="AI53" s="21" t="n"/>
      <c r="AJ53" s="21" t="n"/>
      <c r="AK53" s="21" t="n"/>
      <c r="AL53" s="21" t="n"/>
      <c r="AM53" s="21" t="n"/>
      <c r="AN53" s="21" t="n"/>
      <c r="AO53" s="21" t="n"/>
      <c r="AP53" s="21" t="n"/>
      <c r="AQ53" s="21" t="n"/>
      <c r="AR53" s="21" t="n"/>
      <c r="AS53" s="23">
        <f> SUM(AG53:AR53)</f>
        <v/>
      </c>
      <c r="AU53" s="21" t="n"/>
      <c r="AV53" s="21" t="n"/>
      <c r="AW53" s="21" t="n"/>
      <c r="AX53" s="21" t="n"/>
      <c r="AY53" s="21" t="n"/>
      <c r="AZ53" s="21" t="n"/>
      <c r="BA53" s="21" t="n"/>
      <c r="BB53" s="21" t="n"/>
      <c r="BC53" s="21" t="n"/>
      <c r="BD53" s="21" t="n"/>
      <c r="BE53" s="21" t="n"/>
      <c r="BF53" s="21" t="n"/>
      <c r="BG53" s="23">
        <f> SUM(AU53:BF53)</f>
        <v/>
      </c>
      <c r="BI53" s="21" t="n"/>
      <c r="BJ53" s="21" t="n"/>
      <c r="BK53" s="21" t="n"/>
      <c r="BL53" s="21" t="n"/>
      <c r="BM53" s="21" t="n"/>
      <c r="BN53" s="21" t="n"/>
      <c r="BO53" s="21" t="n"/>
      <c r="BP53" s="21" t="n"/>
      <c r="BQ53" s="21" t="n"/>
      <c r="BR53" s="21" t="n"/>
      <c r="BS53" s="21" t="n"/>
      <c r="BT53" s="21" t="n"/>
      <c r="BU53" s="23">
        <f> SUM(BI53:BT53)</f>
        <v/>
      </c>
      <c r="BW53" s="21" t="n"/>
      <c r="BX53" s="21" t="n"/>
      <c r="BY53" s="21" t="n"/>
      <c r="BZ53" s="21" t="n"/>
      <c r="CA53" s="21" t="n"/>
      <c r="CB53" s="21" t="n"/>
      <c r="CC53" s="21" t="n"/>
      <c r="CD53" s="21" t="n"/>
      <c r="CE53" s="21" t="n"/>
      <c r="CF53" s="21" t="n"/>
      <c r="CG53" s="21" t="n"/>
      <c r="CH53" s="21" t="n"/>
      <c r="CI53" s="23">
        <f> SUM(BW53:CH53)</f>
        <v/>
      </c>
      <c r="CK53" s="21" t="n"/>
      <c r="CL53" s="21" t="n"/>
      <c r="CM53" s="21" t="n"/>
      <c r="CN53" s="21" t="n"/>
      <c r="CO53" s="21" t="n"/>
      <c r="CP53" s="21" t="n"/>
      <c r="CQ53" s="21" t="n"/>
      <c r="CR53" s="21" t="n"/>
      <c r="CS53" s="21" t="n"/>
      <c r="CT53" s="21" t="n"/>
      <c r="CU53" s="21" t="n"/>
      <c r="CV53" s="21" t="n"/>
      <c r="CW53" s="23">
        <f> SUM(CK53:CV53)</f>
        <v/>
      </c>
      <c r="CY53" s="21" t="n"/>
      <c r="CZ53" s="21" t="n"/>
      <c r="DA53" s="21" t="n"/>
      <c r="DB53" s="21" t="n"/>
      <c r="DC53" s="21" t="n"/>
      <c r="DD53" s="21" t="n"/>
      <c r="DE53" s="21" t="n"/>
      <c r="DF53" s="21" t="n"/>
      <c r="DG53" s="21" t="n"/>
      <c r="DH53" s="21" t="n"/>
      <c r="DI53" s="21" t="n"/>
      <c r="DJ53" s="21" t="n"/>
      <c r="DK53" s="23">
        <f> SUM(CY53:DJ53)</f>
        <v/>
      </c>
      <c r="DM53" s="21" t="n"/>
      <c r="DN53" s="21" t="n"/>
      <c r="DO53" s="21" t="n"/>
      <c r="DP53" s="21" t="n"/>
      <c r="DQ53" s="21" t="n"/>
      <c r="DR53" s="21" t="n"/>
      <c r="DS53" s="21" t="n"/>
      <c r="DT53" s="21" t="n"/>
      <c r="DU53" s="21" t="n"/>
      <c r="DV53" s="21" t="n"/>
      <c r="DW53" s="21" t="n"/>
      <c r="DX53" s="21" t="n"/>
      <c r="DY53" s="23">
        <f> SUM(DM53:DX53)</f>
        <v/>
      </c>
      <c r="EA53" s="21" t="n"/>
      <c r="EB53" s="21" t="n"/>
      <c r="EC53" s="21" t="n"/>
      <c r="ED53" s="21" t="n"/>
      <c r="EE53" s="21" t="n"/>
      <c r="EF53" s="21" t="n"/>
      <c r="EG53" s="21" t="n"/>
      <c r="EH53" s="21" t="n"/>
      <c r="EI53" s="21" t="n"/>
      <c r="EJ53" s="21" t="n"/>
      <c r="EK53" s="21" t="n"/>
      <c r="EL53" s="21" t="n"/>
      <c r="EM53" s="23">
        <f> SUM(EA53:EL53)</f>
        <v/>
      </c>
    </row>
    <row r="54">
      <c r="C54" s="20" t="inlineStr">
        <is>
          <t>Roth IRA</t>
        </is>
      </c>
      <c r="E54" s="21" t="n"/>
      <c r="F54" s="21" t="n"/>
      <c r="G54" s="21" t="n"/>
      <c r="H54" s="21" t="n"/>
      <c r="I54" s="21" t="n"/>
      <c r="J54" s="21" t="n"/>
      <c r="K54" s="21" t="n"/>
      <c r="L54" s="21" t="n"/>
      <c r="M54" s="21" t="n"/>
      <c r="N54" s="21" t="n"/>
      <c r="O54" s="21" t="n"/>
      <c r="P54" s="21" t="n"/>
      <c r="Q54" s="23">
        <f> SUM(E54:P54)</f>
        <v/>
      </c>
      <c r="S54" s="21" t="n"/>
      <c r="T54" s="21" t="n"/>
      <c r="U54" s="21" t="n"/>
      <c r="V54" s="21" t="n"/>
      <c r="W54" s="21" t="n"/>
      <c r="X54" s="21" t="n"/>
      <c r="Y54" s="21" t="n"/>
      <c r="Z54" s="21" t="n"/>
      <c r="AA54" s="21" t="n"/>
      <c r="AB54" s="21" t="n"/>
      <c r="AC54" s="21" t="n"/>
      <c r="AD54" s="21" t="n"/>
      <c r="AE54" s="23">
        <f> SUM(S54:AD54)</f>
        <v/>
      </c>
      <c r="AG54" s="21" t="n"/>
      <c r="AH54" s="21" t="n"/>
      <c r="AI54" s="21" t="n"/>
      <c r="AJ54" s="21" t="n"/>
      <c r="AK54" s="21" t="n"/>
      <c r="AL54" s="21" t="n"/>
      <c r="AM54" s="21" t="n"/>
      <c r="AN54" s="21" t="n"/>
      <c r="AO54" s="21" t="n"/>
      <c r="AP54" s="21" t="n"/>
      <c r="AQ54" s="21" t="n"/>
      <c r="AR54" s="21" t="n"/>
      <c r="AS54" s="23">
        <f> SUM(AG54:AR54)</f>
        <v/>
      </c>
      <c r="AU54" s="21" t="n"/>
      <c r="AV54" s="21" t="n"/>
      <c r="AW54" s="21" t="n"/>
      <c r="AX54" s="21" t="n"/>
      <c r="AY54" s="21" t="n"/>
      <c r="AZ54" s="21" t="n"/>
      <c r="BA54" s="21" t="n"/>
      <c r="BB54" s="21" t="n"/>
      <c r="BC54" s="21" t="n"/>
      <c r="BD54" s="21" t="n"/>
      <c r="BE54" s="21" t="n"/>
      <c r="BF54" s="21" t="n"/>
      <c r="BG54" s="23">
        <f> SUM(AU54:BF54)</f>
        <v/>
      </c>
      <c r="BI54" s="21" t="n"/>
      <c r="BJ54" s="21" t="n"/>
      <c r="BK54" s="21" t="n"/>
      <c r="BL54" s="21" t="n"/>
      <c r="BM54" s="21" t="n"/>
      <c r="BN54" s="21" t="n"/>
      <c r="BO54" s="21" t="n"/>
      <c r="BP54" s="21" t="n"/>
      <c r="BQ54" s="21" t="n"/>
      <c r="BR54" s="21" t="n"/>
      <c r="BS54" s="21" t="n"/>
      <c r="BT54" s="21" t="n"/>
      <c r="BU54" s="23">
        <f> SUM(BI54:BT54)</f>
        <v/>
      </c>
      <c r="BW54" s="21" t="n"/>
      <c r="BX54" s="21" t="n"/>
      <c r="BY54" s="21" t="n"/>
      <c r="BZ54" s="21" t="n"/>
      <c r="CA54" s="21" t="n"/>
      <c r="CB54" s="21" t="n"/>
      <c r="CC54" s="21" t="n"/>
      <c r="CD54" s="21" t="n"/>
      <c r="CE54" s="21" t="n"/>
      <c r="CF54" s="21" t="n"/>
      <c r="CG54" s="21" t="n"/>
      <c r="CH54" s="21" t="n"/>
      <c r="CI54" s="23">
        <f> SUM(BW54:CH54)</f>
        <v/>
      </c>
      <c r="CK54" s="21" t="n"/>
      <c r="CL54" s="21" t="n"/>
      <c r="CM54" s="21" t="n"/>
      <c r="CN54" s="21" t="n"/>
      <c r="CO54" s="21" t="n"/>
      <c r="CP54" s="21" t="n"/>
      <c r="CQ54" s="21" t="n"/>
      <c r="CR54" s="21" t="n"/>
      <c r="CS54" s="21" t="n"/>
      <c r="CT54" s="21" t="n"/>
      <c r="CU54" s="21" t="n"/>
      <c r="CV54" s="21" t="n"/>
      <c r="CW54" s="23">
        <f> SUM(CK54:CV54)</f>
        <v/>
      </c>
      <c r="CY54" s="21" t="n"/>
      <c r="CZ54" s="21" t="n"/>
      <c r="DA54" s="21" t="n"/>
      <c r="DB54" s="21" t="n"/>
      <c r="DC54" s="21" t="n"/>
      <c r="DD54" s="21" t="n"/>
      <c r="DE54" s="21" t="n"/>
      <c r="DF54" s="21" t="n"/>
      <c r="DG54" s="21" t="n"/>
      <c r="DH54" s="21" t="n"/>
      <c r="DI54" s="21" t="n"/>
      <c r="DJ54" s="21" t="n"/>
      <c r="DK54" s="23">
        <f> SUM(CY54:DJ54)</f>
        <v/>
      </c>
      <c r="DM54" s="21" t="n"/>
      <c r="DN54" s="21" t="n"/>
      <c r="DO54" s="21" t="n"/>
      <c r="DP54" s="21" t="n"/>
      <c r="DQ54" s="21" t="n"/>
      <c r="DR54" s="21" t="n"/>
      <c r="DS54" s="21" t="n"/>
      <c r="DT54" s="21" t="n"/>
      <c r="DU54" s="21" t="n"/>
      <c r="DV54" s="21" t="n"/>
      <c r="DW54" s="21" t="n"/>
      <c r="DX54" s="21" t="n"/>
      <c r="DY54" s="23">
        <f> SUM(DM54:DX54)</f>
        <v/>
      </c>
      <c r="EA54" s="21" t="n"/>
      <c r="EB54" s="21" t="n"/>
      <c r="EC54" s="21" t="n"/>
      <c r="ED54" s="21" t="n"/>
      <c r="EE54" s="21" t="n"/>
      <c r="EF54" s="21" t="n"/>
      <c r="EG54" s="21" t="n"/>
      <c r="EH54" s="21" t="n"/>
      <c r="EI54" s="21" t="n"/>
      <c r="EJ54" s="21" t="n"/>
      <c r="EK54" s="21" t="n"/>
      <c r="EL54" s="21" t="n"/>
      <c r="EM54" s="23">
        <f> SUM(EA54:EL54)</f>
        <v/>
      </c>
    </row>
    <row r="55">
      <c r="C55" s="20" t="inlineStr">
        <is>
          <t>HSA</t>
        </is>
      </c>
      <c r="E55" s="21" t="n"/>
      <c r="F55" s="21" t="n"/>
      <c r="G55" s="21" t="n"/>
      <c r="H55" s="21" t="n"/>
      <c r="I55" s="21" t="n"/>
      <c r="J55" s="21" t="n"/>
      <c r="K55" s="21" t="n"/>
      <c r="L55" s="21" t="n"/>
      <c r="M55" s="21" t="n"/>
      <c r="N55" s="21" t="n"/>
      <c r="O55" s="21" t="n"/>
      <c r="P55" s="21" t="n"/>
      <c r="Q55" s="23">
        <f> SUM(E55:P55)</f>
        <v/>
      </c>
      <c r="S55" s="21" t="n"/>
      <c r="T55" s="21" t="n"/>
      <c r="U55" s="21" t="n"/>
      <c r="V55" s="21" t="n"/>
      <c r="W55" s="21" t="n"/>
      <c r="X55" s="21" t="n"/>
      <c r="Y55" s="21" t="n"/>
      <c r="Z55" s="21" t="n"/>
      <c r="AA55" s="21" t="n"/>
      <c r="AB55" s="21" t="n"/>
      <c r="AC55" s="21" t="n"/>
      <c r="AD55" s="21" t="n"/>
      <c r="AE55" s="23">
        <f> SUM(S55:AD55)</f>
        <v/>
      </c>
      <c r="AG55" s="21" t="n"/>
      <c r="AH55" s="21" t="n"/>
      <c r="AI55" s="21" t="n"/>
      <c r="AJ55" s="21" t="n"/>
      <c r="AK55" s="21" t="n"/>
      <c r="AL55" s="21" t="n"/>
      <c r="AM55" s="21" t="n"/>
      <c r="AN55" s="21" t="n"/>
      <c r="AO55" s="21" t="n"/>
      <c r="AP55" s="21" t="n"/>
      <c r="AQ55" s="21" t="n"/>
      <c r="AR55" s="21" t="n"/>
      <c r="AS55" s="23">
        <f> SUM(AG55:AR55)</f>
        <v/>
      </c>
      <c r="AU55" s="21" t="n"/>
      <c r="AV55" s="21" t="n"/>
      <c r="AW55" s="21" t="n"/>
      <c r="AX55" s="21" t="n"/>
      <c r="AY55" s="21" t="n"/>
      <c r="AZ55" s="21" t="n"/>
      <c r="BA55" s="21" t="n"/>
      <c r="BB55" s="21" t="n"/>
      <c r="BC55" s="21" t="n"/>
      <c r="BD55" s="21" t="n"/>
      <c r="BE55" s="21" t="n"/>
      <c r="BF55" s="21" t="n"/>
      <c r="BG55" s="23">
        <f> SUM(AU55:BF55)</f>
        <v/>
      </c>
      <c r="BI55" s="21" t="n"/>
      <c r="BJ55" s="21" t="n"/>
      <c r="BK55" s="21" t="n"/>
      <c r="BL55" s="21" t="n"/>
      <c r="BM55" s="21" t="n"/>
      <c r="BN55" s="21" t="n"/>
      <c r="BO55" s="21" t="n"/>
      <c r="BP55" s="21" t="n"/>
      <c r="BQ55" s="21" t="n"/>
      <c r="BR55" s="21" t="n"/>
      <c r="BS55" s="21" t="n"/>
      <c r="BT55" s="21" t="n"/>
      <c r="BU55" s="23">
        <f> SUM(BI55:BT55)</f>
        <v/>
      </c>
      <c r="BW55" s="21" t="n"/>
      <c r="BX55" s="21" t="n"/>
      <c r="BY55" s="21" t="n"/>
      <c r="BZ55" s="21" t="n"/>
      <c r="CA55" s="21" t="n"/>
      <c r="CB55" s="21" t="n"/>
      <c r="CC55" s="21" t="n"/>
      <c r="CD55" s="21" t="n"/>
      <c r="CE55" s="21" t="n"/>
      <c r="CF55" s="21" t="n"/>
      <c r="CG55" s="21" t="n"/>
      <c r="CH55" s="21" t="n"/>
      <c r="CI55" s="23">
        <f> SUM(BW55:CH55)</f>
        <v/>
      </c>
      <c r="CK55" s="21" t="n"/>
      <c r="CL55" s="21" t="n"/>
      <c r="CM55" s="21" t="n"/>
      <c r="CN55" s="21" t="n"/>
      <c r="CO55" s="21" t="n"/>
      <c r="CP55" s="21" t="n"/>
      <c r="CQ55" s="21" t="n"/>
      <c r="CR55" s="21" t="n"/>
      <c r="CS55" s="21" t="n"/>
      <c r="CT55" s="21" t="n"/>
      <c r="CU55" s="21" t="n"/>
      <c r="CV55" s="21" t="n"/>
      <c r="CW55" s="23">
        <f> SUM(CK55:CV55)</f>
        <v/>
      </c>
      <c r="CY55" s="21" t="n"/>
      <c r="CZ55" s="21" t="n"/>
      <c r="DA55" s="21" t="n"/>
      <c r="DB55" s="21" t="n"/>
      <c r="DC55" s="21" t="n"/>
      <c r="DD55" s="21" t="n"/>
      <c r="DE55" s="21" t="n"/>
      <c r="DF55" s="21" t="n"/>
      <c r="DG55" s="21" t="n"/>
      <c r="DH55" s="21" t="n"/>
      <c r="DI55" s="21" t="n"/>
      <c r="DJ55" s="21" t="n"/>
      <c r="DK55" s="23">
        <f> SUM(CY55:DJ55)</f>
        <v/>
      </c>
      <c r="DM55" s="21" t="n"/>
      <c r="DN55" s="21" t="n"/>
      <c r="DO55" s="21" t="n"/>
      <c r="DP55" s="21" t="n"/>
      <c r="DQ55" s="21" t="n"/>
      <c r="DR55" s="21" t="n"/>
      <c r="DS55" s="21" t="n"/>
      <c r="DT55" s="21" t="n"/>
      <c r="DU55" s="21" t="n"/>
      <c r="DV55" s="21" t="n"/>
      <c r="DW55" s="21" t="n"/>
      <c r="DX55" s="21" t="n"/>
      <c r="DY55" s="23">
        <f> SUM(DM55:DX55)</f>
        <v/>
      </c>
      <c r="EA55" s="21" t="n"/>
      <c r="EB55" s="21" t="n"/>
      <c r="EC55" s="21" t="n"/>
      <c r="ED55" s="21" t="n"/>
      <c r="EE55" s="21" t="n"/>
      <c r="EF55" s="21" t="n"/>
      <c r="EG55" s="21" t="n"/>
      <c r="EH55" s="21" t="n"/>
      <c r="EI55" s="21" t="n"/>
      <c r="EJ55" s="21" t="n"/>
      <c r="EK55" s="21" t="n"/>
      <c r="EL55" s="21" t="n"/>
      <c r="EM55" s="23">
        <f> SUM(EA55:EL55)</f>
        <v/>
      </c>
    </row>
    <row r="56" hidden="1">
      <c r="C56" s="20" t="inlineStr">
        <is>
          <t>Enter Savings Categoroy</t>
        </is>
      </c>
      <c r="E56" s="21" t="n"/>
      <c r="F56" s="21" t="n"/>
      <c r="G56" s="21" t="n"/>
      <c r="H56" s="21" t="n"/>
      <c r="I56" s="21" t="n"/>
      <c r="J56" s="21" t="n"/>
      <c r="K56" s="21" t="n"/>
      <c r="L56" s="21" t="n"/>
      <c r="M56" s="21" t="n"/>
      <c r="N56" s="21" t="n"/>
      <c r="O56" s="21" t="n"/>
      <c r="P56" s="21" t="n"/>
      <c r="Q56" s="23">
        <f> SUM(E56:P56)</f>
        <v/>
      </c>
      <c r="S56" s="21" t="n"/>
      <c r="T56" s="21" t="n"/>
      <c r="U56" s="21" t="n"/>
      <c r="V56" s="21" t="n"/>
      <c r="W56" s="21" t="n"/>
      <c r="X56" s="21" t="n"/>
      <c r="Y56" s="21" t="n"/>
      <c r="Z56" s="21" t="n"/>
      <c r="AA56" s="21" t="n"/>
      <c r="AB56" s="21" t="n"/>
      <c r="AC56" s="21" t="n"/>
      <c r="AD56" s="21" t="n"/>
      <c r="AE56" s="23">
        <f> SUM(S56:AD56)</f>
        <v/>
      </c>
      <c r="AG56" s="21" t="n"/>
      <c r="AH56" s="21" t="n"/>
      <c r="AI56" s="21" t="n"/>
      <c r="AJ56" s="21" t="n"/>
      <c r="AK56" s="21" t="n"/>
      <c r="AL56" s="21" t="n"/>
      <c r="AM56" s="21" t="n"/>
      <c r="AN56" s="21" t="n"/>
      <c r="AO56" s="21" t="n"/>
      <c r="AP56" s="21" t="n"/>
      <c r="AQ56" s="21" t="n"/>
      <c r="AR56" s="21" t="n"/>
      <c r="AS56" s="23">
        <f> SUM(AG56:AR56)</f>
        <v/>
      </c>
      <c r="AU56" s="21" t="n"/>
      <c r="AV56" s="21" t="n"/>
      <c r="AW56" s="21" t="n"/>
      <c r="AX56" s="21" t="n"/>
      <c r="AY56" s="21" t="n"/>
      <c r="AZ56" s="21" t="n"/>
      <c r="BA56" s="21" t="n"/>
      <c r="BB56" s="21" t="n"/>
      <c r="BC56" s="21" t="n"/>
      <c r="BD56" s="21" t="n"/>
      <c r="BE56" s="21" t="n"/>
      <c r="BF56" s="21" t="n"/>
      <c r="BG56" s="23">
        <f> SUM(AU56:BF56)</f>
        <v/>
      </c>
      <c r="BI56" s="21" t="n"/>
      <c r="BJ56" s="21" t="n"/>
      <c r="BK56" s="21" t="n"/>
      <c r="BL56" s="21" t="n"/>
      <c r="BM56" s="21" t="n"/>
      <c r="BN56" s="21" t="n"/>
      <c r="BO56" s="21" t="n"/>
      <c r="BP56" s="21" t="n"/>
      <c r="BQ56" s="21" t="n"/>
      <c r="BR56" s="21" t="n"/>
      <c r="BS56" s="21" t="n"/>
      <c r="BT56" s="21" t="n"/>
      <c r="BU56" s="23">
        <f> SUM(BI56:BT56)</f>
        <v/>
      </c>
      <c r="BW56" s="21" t="n"/>
      <c r="BX56" s="21" t="n"/>
      <c r="BY56" s="21" t="n"/>
      <c r="BZ56" s="21" t="n"/>
      <c r="CA56" s="21" t="n"/>
      <c r="CB56" s="21" t="n"/>
      <c r="CC56" s="21" t="n"/>
      <c r="CD56" s="21" t="n"/>
      <c r="CE56" s="21" t="n"/>
      <c r="CF56" s="21" t="n"/>
      <c r="CG56" s="21" t="n"/>
      <c r="CH56" s="21" t="n"/>
      <c r="CI56" s="23">
        <f> SUM(BW56:CH56)</f>
        <v/>
      </c>
      <c r="CK56" s="21" t="n"/>
      <c r="CL56" s="21" t="n"/>
      <c r="CM56" s="21" t="n"/>
      <c r="CN56" s="21" t="n"/>
      <c r="CO56" s="21" t="n"/>
      <c r="CP56" s="21" t="n"/>
      <c r="CQ56" s="21" t="n"/>
      <c r="CR56" s="21" t="n"/>
      <c r="CS56" s="21" t="n"/>
      <c r="CT56" s="21" t="n"/>
      <c r="CU56" s="21" t="n"/>
      <c r="CV56" s="21" t="n"/>
      <c r="CW56" s="23">
        <f> SUM(CK56:CV56)</f>
        <v/>
      </c>
      <c r="CY56" s="21" t="n"/>
      <c r="CZ56" s="21" t="n"/>
      <c r="DA56" s="21" t="n"/>
      <c r="DB56" s="21" t="n"/>
      <c r="DC56" s="21" t="n"/>
      <c r="DD56" s="21" t="n"/>
      <c r="DE56" s="21" t="n"/>
      <c r="DF56" s="21" t="n"/>
      <c r="DG56" s="21" t="n"/>
      <c r="DH56" s="21" t="n"/>
      <c r="DI56" s="21" t="n"/>
      <c r="DJ56" s="21" t="n"/>
      <c r="DK56" s="23">
        <f> SUM(CY56:DJ56)</f>
        <v/>
      </c>
      <c r="DM56" s="21" t="n"/>
      <c r="DN56" s="21" t="n"/>
      <c r="DO56" s="21" t="n"/>
      <c r="DP56" s="21" t="n"/>
      <c r="DQ56" s="21" t="n"/>
      <c r="DR56" s="21" t="n"/>
      <c r="DS56" s="21" t="n"/>
      <c r="DT56" s="21" t="n"/>
      <c r="DU56" s="21" t="n"/>
      <c r="DV56" s="21" t="n"/>
      <c r="DW56" s="21" t="n"/>
      <c r="DX56" s="21" t="n"/>
      <c r="DY56" s="23">
        <f> SUM(DM56:DX56)</f>
        <v/>
      </c>
      <c r="EA56" s="21" t="n"/>
      <c r="EB56" s="21" t="n"/>
      <c r="EC56" s="21" t="n"/>
      <c r="ED56" s="21" t="n"/>
      <c r="EE56" s="21" t="n"/>
      <c r="EF56" s="21" t="n"/>
      <c r="EG56" s="21" t="n"/>
      <c r="EH56" s="21" t="n"/>
      <c r="EI56" s="21" t="n"/>
      <c r="EJ56" s="21" t="n"/>
      <c r="EK56" s="21" t="n"/>
      <c r="EL56" s="21" t="n"/>
      <c r="EM56" s="23">
        <f> SUM(EA56:EL56)</f>
        <v/>
      </c>
    </row>
    <row r="57" hidden="1">
      <c r="C57" s="20" t="inlineStr">
        <is>
          <t>Enter Savings Categoroy</t>
        </is>
      </c>
      <c r="E57" s="21" t="n"/>
      <c r="F57" s="21" t="n"/>
      <c r="G57" s="21" t="n"/>
      <c r="H57" s="21" t="n"/>
      <c r="I57" s="21" t="n"/>
      <c r="J57" s="21" t="n"/>
      <c r="K57" s="21" t="n"/>
      <c r="L57" s="21" t="n"/>
      <c r="M57" s="21" t="n"/>
      <c r="N57" s="21" t="n"/>
      <c r="O57" s="21" t="n"/>
      <c r="P57" s="21" t="n"/>
      <c r="Q57" s="23">
        <f> SUM(E57:P57)</f>
        <v/>
      </c>
      <c r="S57" s="21" t="n"/>
      <c r="T57" s="21" t="n"/>
      <c r="U57" s="21" t="n"/>
      <c r="V57" s="21" t="n"/>
      <c r="W57" s="21" t="n"/>
      <c r="X57" s="21" t="n"/>
      <c r="Y57" s="21" t="n"/>
      <c r="Z57" s="21" t="n"/>
      <c r="AA57" s="21" t="n"/>
      <c r="AB57" s="21" t="n"/>
      <c r="AC57" s="21" t="n"/>
      <c r="AD57" s="21" t="n"/>
      <c r="AE57" s="23">
        <f> SUM(S57:AD57)</f>
        <v/>
      </c>
      <c r="AG57" s="21" t="n"/>
      <c r="AH57" s="21" t="n"/>
      <c r="AI57" s="21" t="n"/>
      <c r="AJ57" s="21" t="n"/>
      <c r="AK57" s="21" t="n"/>
      <c r="AL57" s="21" t="n"/>
      <c r="AM57" s="21" t="n"/>
      <c r="AN57" s="21" t="n"/>
      <c r="AO57" s="21" t="n"/>
      <c r="AP57" s="21" t="n"/>
      <c r="AQ57" s="21" t="n"/>
      <c r="AR57" s="21" t="n"/>
      <c r="AS57" s="23">
        <f> SUM(AG57:AR57)</f>
        <v/>
      </c>
      <c r="AU57" s="21" t="n"/>
      <c r="AV57" s="21" t="n"/>
      <c r="AW57" s="21" t="n"/>
      <c r="AX57" s="21" t="n"/>
      <c r="AY57" s="21" t="n"/>
      <c r="AZ57" s="21" t="n"/>
      <c r="BA57" s="21" t="n"/>
      <c r="BB57" s="21" t="n"/>
      <c r="BC57" s="21" t="n"/>
      <c r="BD57" s="21" t="n"/>
      <c r="BE57" s="21" t="n"/>
      <c r="BF57" s="21" t="n"/>
      <c r="BG57" s="23">
        <f> SUM(AU57:BF57)</f>
        <v/>
      </c>
      <c r="BI57" s="21" t="n"/>
      <c r="BJ57" s="21" t="n"/>
      <c r="BK57" s="21" t="n"/>
      <c r="BL57" s="21" t="n"/>
      <c r="BM57" s="21" t="n"/>
      <c r="BN57" s="21" t="n"/>
      <c r="BO57" s="21" t="n"/>
      <c r="BP57" s="21" t="n"/>
      <c r="BQ57" s="21" t="n"/>
      <c r="BR57" s="21" t="n"/>
      <c r="BS57" s="21" t="n"/>
      <c r="BT57" s="21" t="n"/>
      <c r="BU57" s="23">
        <f> SUM(BI57:BT57)</f>
        <v/>
      </c>
      <c r="BW57" s="21" t="n"/>
      <c r="BX57" s="21" t="n"/>
      <c r="BY57" s="21" t="n"/>
      <c r="BZ57" s="21" t="n"/>
      <c r="CA57" s="21" t="n"/>
      <c r="CB57" s="21" t="n"/>
      <c r="CC57" s="21" t="n"/>
      <c r="CD57" s="21" t="n"/>
      <c r="CE57" s="21" t="n"/>
      <c r="CF57" s="21" t="n"/>
      <c r="CG57" s="21" t="n"/>
      <c r="CH57" s="21" t="n"/>
      <c r="CI57" s="23">
        <f> SUM(BW57:CH57)</f>
        <v/>
      </c>
      <c r="CK57" s="21" t="n"/>
      <c r="CL57" s="21" t="n"/>
      <c r="CM57" s="21" t="n"/>
      <c r="CN57" s="21" t="n"/>
      <c r="CO57" s="21" t="n"/>
      <c r="CP57" s="21" t="n"/>
      <c r="CQ57" s="21" t="n"/>
      <c r="CR57" s="21" t="n"/>
      <c r="CS57" s="21" t="n"/>
      <c r="CT57" s="21" t="n"/>
      <c r="CU57" s="21" t="n"/>
      <c r="CV57" s="21" t="n"/>
      <c r="CW57" s="23">
        <f> SUM(CK57:CV57)</f>
        <v/>
      </c>
      <c r="CY57" s="21" t="n"/>
      <c r="CZ57" s="21" t="n"/>
      <c r="DA57" s="21" t="n"/>
      <c r="DB57" s="21" t="n"/>
      <c r="DC57" s="21" t="n"/>
      <c r="DD57" s="21" t="n"/>
      <c r="DE57" s="21" t="n"/>
      <c r="DF57" s="21" t="n"/>
      <c r="DG57" s="21" t="n"/>
      <c r="DH57" s="21" t="n"/>
      <c r="DI57" s="21" t="n"/>
      <c r="DJ57" s="21" t="n"/>
      <c r="DK57" s="23">
        <f> SUM(CY57:DJ57)</f>
        <v/>
      </c>
      <c r="DM57" s="21" t="n"/>
      <c r="DN57" s="21" t="n"/>
      <c r="DO57" s="21" t="n"/>
      <c r="DP57" s="21" t="n"/>
      <c r="DQ57" s="21" t="n"/>
      <c r="DR57" s="21" t="n"/>
      <c r="DS57" s="21" t="n"/>
      <c r="DT57" s="21" t="n"/>
      <c r="DU57" s="21" t="n"/>
      <c r="DV57" s="21" t="n"/>
      <c r="DW57" s="21" t="n"/>
      <c r="DX57" s="21" t="n"/>
      <c r="DY57" s="23">
        <f> SUM(DM57:DX57)</f>
        <v/>
      </c>
      <c r="EA57" s="21" t="n"/>
      <c r="EB57" s="21" t="n"/>
      <c r="EC57" s="21" t="n"/>
      <c r="ED57" s="21" t="n"/>
      <c r="EE57" s="21" t="n"/>
      <c r="EF57" s="21" t="n"/>
      <c r="EG57" s="21" t="n"/>
      <c r="EH57" s="21" t="n"/>
      <c r="EI57" s="21" t="n"/>
      <c r="EJ57" s="21" t="n"/>
      <c r="EK57" s="21" t="n"/>
      <c r="EL57" s="21" t="n"/>
      <c r="EM57" s="23">
        <f> SUM(EA57:EL57)</f>
        <v/>
      </c>
    </row>
    <row r="58" hidden="1">
      <c r="C58" s="20" t="inlineStr">
        <is>
          <t>Enter Savings Categoroy</t>
        </is>
      </c>
      <c r="E58" s="21" t="n"/>
      <c r="F58" s="21" t="n"/>
      <c r="G58" s="21" t="n"/>
      <c r="H58" s="21" t="n"/>
      <c r="I58" s="21" t="n"/>
      <c r="J58" s="21" t="n"/>
      <c r="K58" s="21" t="n"/>
      <c r="L58" s="21" t="n"/>
      <c r="M58" s="21" t="n"/>
      <c r="N58" s="21" t="n"/>
      <c r="O58" s="21" t="n"/>
      <c r="P58" s="21" t="n"/>
      <c r="Q58" s="23">
        <f> SUM(E58:P58)</f>
        <v/>
      </c>
      <c r="S58" s="21" t="n"/>
      <c r="T58" s="21" t="n"/>
      <c r="U58" s="21" t="n"/>
      <c r="V58" s="21" t="n"/>
      <c r="W58" s="21" t="n"/>
      <c r="X58" s="21" t="n"/>
      <c r="Y58" s="21" t="n"/>
      <c r="Z58" s="21" t="n"/>
      <c r="AA58" s="21" t="n"/>
      <c r="AB58" s="21" t="n"/>
      <c r="AC58" s="21" t="n"/>
      <c r="AD58" s="21" t="n"/>
      <c r="AE58" s="23">
        <f> SUM(S58:AD58)</f>
        <v/>
      </c>
      <c r="AG58" s="21" t="n"/>
      <c r="AH58" s="21" t="n"/>
      <c r="AI58" s="21" t="n"/>
      <c r="AJ58" s="21" t="n"/>
      <c r="AK58" s="21" t="n"/>
      <c r="AL58" s="21" t="n"/>
      <c r="AM58" s="21" t="n"/>
      <c r="AN58" s="21" t="n"/>
      <c r="AO58" s="21" t="n"/>
      <c r="AP58" s="21" t="n"/>
      <c r="AQ58" s="21" t="n"/>
      <c r="AR58" s="21" t="n"/>
      <c r="AS58" s="23">
        <f> SUM(AG58:AR58)</f>
        <v/>
      </c>
      <c r="AU58" s="21" t="n"/>
      <c r="AV58" s="21" t="n"/>
      <c r="AW58" s="21" t="n"/>
      <c r="AX58" s="21" t="n"/>
      <c r="AY58" s="21" t="n"/>
      <c r="AZ58" s="21" t="n"/>
      <c r="BA58" s="21" t="n"/>
      <c r="BB58" s="21" t="n"/>
      <c r="BC58" s="21" t="n"/>
      <c r="BD58" s="21" t="n"/>
      <c r="BE58" s="21" t="n"/>
      <c r="BF58" s="21" t="n"/>
      <c r="BG58" s="23">
        <f> SUM(AU58:BF58)</f>
        <v/>
      </c>
      <c r="BI58" s="21" t="n"/>
      <c r="BJ58" s="21" t="n"/>
      <c r="BK58" s="21" t="n"/>
      <c r="BL58" s="21" t="n"/>
      <c r="BM58" s="21" t="n"/>
      <c r="BN58" s="21" t="n"/>
      <c r="BO58" s="21" t="n"/>
      <c r="BP58" s="21" t="n"/>
      <c r="BQ58" s="21" t="n"/>
      <c r="BR58" s="21" t="n"/>
      <c r="BS58" s="21" t="n"/>
      <c r="BT58" s="21" t="n"/>
      <c r="BU58" s="23">
        <f> SUM(BI58:BT58)</f>
        <v/>
      </c>
      <c r="BW58" s="21" t="n"/>
      <c r="BX58" s="21" t="n"/>
      <c r="BY58" s="21" t="n"/>
      <c r="BZ58" s="21" t="n"/>
      <c r="CA58" s="21" t="n"/>
      <c r="CB58" s="21" t="n"/>
      <c r="CC58" s="21" t="n"/>
      <c r="CD58" s="21" t="n"/>
      <c r="CE58" s="21" t="n"/>
      <c r="CF58" s="21" t="n"/>
      <c r="CG58" s="21" t="n"/>
      <c r="CH58" s="21" t="n"/>
      <c r="CI58" s="23">
        <f> SUM(BW58:CH58)</f>
        <v/>
      </c>
      <c r="CK58" s="21" t="n"/>
      <c r="CL58" s="21" t="n"/>
      <c r="CM58" s="21" t="n"/>
      <c r="CN58" s="21" t="n"/>
      <c r="CO58" s="21" t="n"/>
      <c r="CP58" s="21" t="n"/>
      <c r="CQ58" s="21" t="n"/>
      <c r="CR58" s="21" t="n"/>
      <c r="CS58" s="21" t="n"/>
      <c r="CT58" s="21" t="n"/>
      <c r="CU58" s="21" t="n"/>
      <c r="CV58" s="21" t="n"/>
      <c r="CW58" s="23">
        <f> SUM(CK58:CV58)</f>
        <v/>
      </c>
      <c r="CY58" s="21" t="n"/>
      <c r="CZ58" s="21" t="n"/>
      <c r="DA58" s="21" t="n"/>
      <c r="DB58" s="21" t="n"/>
      <c r="DC58" s="21" t="n"/>
      <c r="DD58" s="21" t="n"/>
      <c r="DE58" s="21" t="n"/>
      <c r="DF58" s="21" t="n"/>
      <c r="DG58" s="21" t="n"/>
      <c r="DH58" s="21" t="n"/>
      <c r="DI58" s="21" t="n"/>
      <c r="DJ58" s="21" t="n"/>
      <c r="DK58" s="23">
        <f> SUM(CY58:DJ58)</f>
        <v/>
      </c>
      <c r="DM58" s="21" t="n"/>
      <c r="DN58" s="21" t="n"/>
      <c r="DO58" s="21" t="n"/>
      <c r="DP58" s="21" t="n"/>
      <c r="DQ58" s="21" t="n"/>
      <c r="DR58" s="21" t="n"/>
      <c r="DS58" s="21" t="n"/>
      <c r="DT58" s="21" t="n"/>
      <c r="DU58" s="21" t="n"/>
      <c r="DV58" s="21" t="n"/>
      <c r="DW58" s="21" t="n"/>
      <c r="DX58" s="21" t="n"/>
      <c r="DY58" s="23">
        <f> SUM(DM58:DX58)</f>
        <v/>
      </c>
      <c r="EA58" s="21" t="n"/>
      <c r="EB58" s="21" t="n"/>
      <c r="EC58" s="21" t="n"/>
      <c r="ED58" s="21" t="n"/>
      <c r="EE58" s="21" t="n"/>
      <c r="EF58" s="21" t="n"/>
      <c r="EG58" s="21" t="n"/>
      <c r="EH58" s="21" t="n"/>
      <c r="EI58" s="21" t="n"/>
      <c r="EJ58" s="21" t="n"/>
      <c r="EK58" s="21" t="n"/>
      <c r="EL58" s="21" t="n"/>
      <c r="EM58" s="23">
        <f> SUM(EA58:EL58)</f>
        <v/>
      </c>
    </row>
    <row r="59" hidden="1">
      <c r="C59" s="20" t="inlineStr">
        <is>
          <t>Enter Savings Categoroy</t>
        </is>
      </c>
      <c r="E59" s="21" t="n"/>
      <c r="F59" s="21" t="n"/>
      <c r="G59" s="21" t="n"/>
      <c r="H59" s="21" t="n"/>
      <c r="I59" s="21" t="n"/>
      <c r="J59" s="21" t="n"/>
      <c r="K59" s="21" t="n"/>
      <c r="L59" s="21" t="n"/>
      <c r="M59" s="21" t="n"/>
      <c r="N59" s="21" t="n"/>
      <c r="O59" s="21" t="n"/>
      <c r="P59" s="21" t="n"/>
      <c r="Q59" s="23">
        <f> SUM(E59:P59)</f>
        <v/>
      </c>
      <c r="S59" s="21" t="n"/>
      <c r="T59" s="21" t="n"/>
      <c r="U59" s="21" t="n"/>
      <c r="V59" s="21" t="n"/>
      <c r="W59" s="21" t="n"/>
      <c r="X59" s="21" t="n"/>
      <c r="Y59" s="21" t="n"/>
      <c r="Z59" s="21" t="n"/>
      <c r="AA59" s="21" t="n"/>
      <c r="AB59" s="21" t="n"/>
      <c r="AC59" s="21" t="n"/>
      <c r="AD59" s="21" t="n"/>
      <c r="AE59" s="23">
        <f> SUM(S59:AD59)</f>
        <v/>
      </c>
      <c r="AG59" s="21" t="n"/>
      <c r="AH59" s="21" t="n"/>
      <c r="AI59" s="21" t="n"/>
      <c r="AJ59" s="21" t="n"/>
      <c r="AK59" s="21" t="n"/>
      <c r="AL59" s="21" t="n"/>
      <c r="AM59" s="21" t="n"/>
      <c r="AN59" s="21" t="n"/>
      <c r="AO59" s="21" t="n"/>
      <c r="AP59" s="21" t="n"/>
      <c r="AQ59" s="21" t="n"/>
      <c r="AR59" s="21" t="n"/>
      <c r="AS59" s="23">
        <f> SUM(AG59:AR59)</f>
        <v/>
      </c>
      <c r="AU59" s="21" t="n"/>
      <c r="AV59" s="21" t="n"/>
      <c r="AW59" s="21" t="n"/>
      <c r="AX59" s="21" t="n"/>
      <c r="AY59" s="21" t="n"/>
      <c r="AZ59" s="21" t="n"/>
      <c r="BA59" s="21" t="n"/>
      <c r="BB59" s="21" t="n"/>
      <c r="BC59" s="21" t="n"/>
      <c r="BD59" s="21" t="n"/>
      <c r="BE59" s="21" t="n"/>
      <c r="BF59" s="21" t="n"/>
      <c r="BG59" s="23">
        <f> SUM(AU59:BF59)</f>
        <v/>
      </c>
      <c r="BI59" s="21" t="n"/>
      <c r="BJ59" s="21" t="n"/>
      <c r="BK59" s="21" t="n"/>
      <c r="BL59" s="21" t="n"/>
      <c r="BM59" s="21" t="n"/>
      <c r="BN59" s="21" t="n"/>
      <c r="BO59" s="21" t="n"/>
      <c r="BP59" s="21" t="n"/>
      <c r="BQ59" s="21" t="n"/>
      <c r="BR59" s="21" t="n"/>
      <c r="BS59" s="21" t="n"/>
      <c r="BT59" s="21" t="n"/>
      <c r="BU59" s="23">
        <f> SUM(BI59:BT59)</f>
        <v/>
      </c>
      <c r="BW59" s="21" t="n"/>
      <c r="BX59" s="21" t="n"/>
      <c r="BY59" s="21" t="n"/>
      <c r="BZ59" s="21" t="n"/>
      <c r="CA59" s="21" t="n"/>
      <c r="CB59" s="21" t="n"/>
      <c r="CC59" s="21" t="n"/>
      <c r="CD59" s="21" t="n"/>
      <c r="CE59" s="21" t="n"/>
      <c r="CF59" s="21" t="n"/>
      <c r="CG59" s="21" t="n"/>
      <c r="CH59" s="21" t="n"/>
      <c r="CI59" s="23">
        <f> SUM(BW59:CH59)</f>
        <v/>
      </c>
      <c r="CK59" s="21" t="n"/>
      <c r="CL59" s="21" t="n"/>
      <c r="CM59" s="21" t="n"/>
      <c r="CN59" s="21" t="n"/>
      <c r="CO59" s="21" t="n"/>
      <c r="CP59" s="21" t="n"/>
      <c r="CQ59" s="21" t="n"/>
      <c r="CR59" s="21" t="n"/>
      <c r="CS59" s="21" t="n"/>
      <c r="CT59" s="21" t="n"/>
      <c r="CU59" s="21" t="n"/>
      <c r="CV59" s="21" t="n"/>
      <c r="CW59" s="23">
        <f> SUM(CK59:CV59)</f>
        <v/>
      </c>
      <c r="CY59" s="21" t="n"/>
      <c r="CZ59" s="21" t="n"/>
      <c r="DA59" s="21" t="n"/>
      <c r="DB59" s="21" t="n"/>
      <c r="DC59" s="21" t="n"/>
      <c r="DD59" s="21" t="n"/>
      <c r="DE59" s="21" t="n"/>
      <c r="DF59" s="21" t="n"/>
      <c r="DG59" s="21" t="n"/>
      <c r="DH59" s="21" t="n"/>
      <c r="DI59" s="21" t="n"/>
      <c r="DJ59" s="21" t="n"/>
      <c r="DK59" s="23">
        <f> SUM(CY59:DJ59)</f>
        <v/>
      </c>
      <c r="DM59" s="21" t="n"/>
      <c r="DN59" s="21" t="n"/>
      <c r="DO59" s="21" t="n"/>
      <c r="DP59" s="21" t="n"/>
      <c r="DQ59" s="21" t="n"/>
      <c r="DR59" s="21" t="n"/>
      <c r="DS59" s="21" t="n"/>
      <c r="DT59" s="21" t="n"/>
      <c r="DU59" s="21" t="n"/>
      <c r="DV59" s="21" t="n"/>
      <c r="DW59" s="21" t="n"/>
      <c r="DX59" s="21" t="n"/>
      <c r="DY59" s="23">
        <f> SUM(DM59:DX59)</f>
        <v/>
      </c>
      <c r="EA59" s="21" t="n"/>
      <c r="EB59" s="21" t="n"/>
      <c r="EC59" s="21" t="n"/>
      <c r="ED59" s="21" t="n"/>
      <c r="EE59" s="21" t="n"/>
      <c r="EF59" s="21" t="n"/>
      <c r="EG59" s="21" t="n"/>
      <c r="EH59" s="21" t="n"/>
      <c r="EI59" s="21" t="n"/>
      <c r="EJ59" s="21" t="n"/>
      <c r="EK59" s="21" t="n"/>
      <c r="EL59" s="21" t="n"/>
      <c r="EM59" s="23">
        <f> SUM(EA59:EL59)</f>
        <v/>
      </c>
    </row>
    <row r="60">
      <c r="C60" s="17" t="inlineStr">
        <is>
          <t>Total</t>
        </is>
      </c>
      <c r="E60" s="22">
        <f t="array" ref="E60"> SUM(INDIRECT(ADDRESS(savings_min_row,COLUMN())&amp;":"&amp;ADDRESS(savings_max_row,COLUMN())))</f>
        <v/>
      </c>
      <c r="F60" s="22">
        <f t="array" ref="F60"> SUM(INDIRECT(ADDRESS(savings_min_row,COLUMN())&amp;":"&amp;ADDRESS(savings_max_row,COLUMN())))</f>
        <v/>
      </c>
      <c r="G60" s="22">
        <f t="array" ref="G60"> SUM(INDIRECT(ADDRESS(savings_min_row,COLUMN())&amp;":"&amp;ADDRESS(savings_max_row,COLUMN())))</f>
        <v/>
      </c>
      <c r="H60" s="22">
        <f t="array" ref="H60"> SUM(INDIRECT(ADDRESS(savings_min_row,COLUMN())&amp;":"&amp;ADDRESS(savings_max_row,COLUMN())))</f>
        <v/>
      </c>
      <c r="I60" s="22">
        <f t="array" ref="I60"> SUM(INDIRECT(ADDRESS(savings_min_row,COLUMN())&amp;":"&amp;ADDRESS(savings_max_row,COLUMN())))</f>
        <v/>
      </c>
      <c r="J60" s="22">
        <f t="array" ref="J60"> SUM(INDIRECT(ADDRESS(savings_min_row,COLUMN())&amp;":"&amp;ADDRESS(savings_max_row,COLUMN())))</f>
        <v/>
      </c>
      <c r="K60" s="22">
        <f t="array" ref="K60"> SUM(INDIRECT(ADDRESS(savings_min_row,COLUMN())&amp;":"&amp;ADDRESS(savings_max_row,COLUMN())))</f>
        <v/>
      </c>
      <c r="L60" s="22">
        <f t="array" ref="L60"> SUM(INDIRECT(ADDRESS(savings_min_row,COLUMN())&amp;":"&amp;ADDRESS(savings_max_row,COLUMN())))</f>
        <v/>
      </c>
      <c r="M60" s="22">
        <f t="array" ref="M60"> SUM(INDIRECT(ADDRESS(savings_min_row,COLUMN())&amp;":"&amp;ADDRESS(savings_max_row,COLUMN())))</f>
        <v/>
      </c>
      <c r="N60" s="22">
        <f t="array" ref="N60"> SUM(INDIRECT(ADDRESS(savings_min_row,COLUMN())&amp;":"&amp;ADDRESS(savings_max_row,COLUMN())))</f>
        <v/>
      </c>
      <c r="O60" s="22">
        <f t="array" ref="O60"> SUM(INDIRECT(ADDRESS(savings_min_row,COLUMN())&amp;":"&amp;ADDRESS(savings_max_row,COLUMN())))</f>
        <v/>
      </c>
      <c r="P60" s="22">
        <f t="array" ref="P60"> SUM(INDIRECT(ADDRESS(savings_min_row,COLUMN())&amp;":"&amp;ADDRESS(savings_max_row,COLUMN())))</f>
        <v/>
      </c>
      <c r="Q60" s="22">
        <f t="array" ref="Q60"> SUM(INDIRECT(ADDRESS(savings_min_row,COLUMN())&amp;":"&amp;ADDRESS(savings_max_row,COLUMN())))</f>
        <v/>
      </c>
      <c r="S60" s="22">
        <f t="array" ref="S60"> SUM(INDIRECT(ADDRESS(savings_min_row,COLUMN())&amp;":"&amp;ADDRESS(savings_max_row,COLUMN())))</f>
        <v/>
      </c>
      <c r="T60" s="22">
        <f t="array" ref="T60"> SUM(INDIRECT(ADDRESS(savings_min_row,COLUMN())&amp;":"&amp;ADDRESS(savings_max_row,COLUMN())))</f>
        <v/>
      </c>
      <c r="U60" s="22">
        <f t="array" ref="U60"> SUM(INDIRECT(ADDRESS(savings_min_row,COLUMN())&amp;":"&amp;ADDRESS(savings_max_row,COLUMN())))</f>
        <v/>
      </c>
      <c r="V60" s="22">
        <f t="array" ref="V60"> SUM(INDIRECT(ADDRESS(savings_min_row,COLUMN())&amp;":"&amp;ADDRESS(savings_max_row,COLUMN())))</f>
        <v/>
      </c>
      <c r="W60" s="22">
        <f t="array" ref="W60"> SUM(INDIRECT(ADDRESS(savings_min_row,COLUMN())&amp;":"&amp;ADDRESS(savings_max_row,COLUMN())))</f>
        <v/>
      </c>
      <c r="X60" s="22">
        <f t="array" ref="X60"> SUM(INDIRECT(ADDRESS(savings_min_row,COLUMN())&amp;":"&amp;ADDRESS(savings_max_row,COLUMN())))</f>
        <v/>
      </c>
      <c r="Y60" s="22">
        <f t="array" ref="Y60"> SUM(INDIRECT(ADDRESS(savings_min_row,COLUMN())&amp;":"&amp;ADDRESS(savings_max_row,COLUMN())))</f>
        <v/>
      </c>
      <c r="Z60" s="22">
        <f t="array" ref="Z60"> SUM(INDIRECT(ADDRESS(savings_min_row,COLUMN())&amp;":"&amp;ADDRESS(savings_max_row,COLUMN())))</f>
        <v/>
      </c>
      <c r="AA60" s="22">
        <f t="array" ref="AA60"> SUM(INDIRECT(ADDRESS(savings_min_row,COLUMN())&amp;":"&amp;ADDRESS(savings_max_row,COLUMN())))</f>
        <v/>
      </c>
      <c r="AB60" s="22">
        <f t="array" ref="AB60"> SUM(INDIRECT(ADDRESS(savings_min_row,COLUMN())&amp;":"&amp;ADDRESS(savings_max_row,COLUMN())))</f>
        <v/>
      </c>
      <c r="AC60" s="22">
        <f t="array" ref="AC60"> SUM(INDIRECT(ADDRESS(savings_min_row,COLUMN())&amp;":"&amp;ADDRESS(savings_max_row,COLUMN())))</f>
        <v/>
      </c>
      <c r="AD60" s="22">
        <f t="array" ref="AD60"> SUM(INDIRECT(ADDRESS(savings_min_row,COLUMN())&amp;":"&amp;ADDRESS(savings_max_row,COLUMN())))</f>
        <v/>
      </c>
      <c r="AE60" s="22">
        <f t="array" ref="AE60"> SUM(INDIRECT(ADDRESS(savings_min_row,COLUMN())&amp;":"&amp;ADDRESS(savings_max_row,COLUMN())))</f>
        <v/>
      </c>
      <c r="AG60" s="22">
        <f t="array" ref="AG60"> SUM(INDIRECT(ADDRESS(savings_min_row,COLUMN())&amp;":"&amp;ADDRESS(savings_max_row,COLUMN())))</f>
        <v/>
      </c>
      <c r="AH60" s="22">
        <f t="array" ref="AH60"> SUM(INDIRECT(ADDRESS(savings_min_row,COLUMN())&amp;":"&amp;ADDRESS(savings_max_row,COLUMN())))</f>
        <v/>
      </c>
      <c r="AI60" s="22">
        <f t="array" ref="AI60"> SUM(INDIRECT(ADDRESS(savings_min_row,COLUMN())&amp;":"&amp;ADDRESS(savings_max_row,COLUMN())))</f>
        <v/>
      </c>
      <c r="AJ60" s="22">
        <f t="array" ref="AJ60"> SUM(INDIRECT(ADDRESS(savings_min_row,COLUMN())&amp;":"&amp;ADDRESS(savings_max_row,COLUMN())))</f>
        <v/>
      </c>
      <c r="AK60" s="22">
        <f t="array" ref="AK60"> SUM(INDIRECT(ADDRESS(savings_min_row,COLUMN())&amp;":"&amp;ADDRESS(savings_max_row,COLUMN())))</f>
        <v/>
      </c>
      <c r="AL60" s="22">
        <f t="array" ref="AL60"> SUM(INDIRECT(ADDRESS(savings_min_row,COLUMN())&amp;":"&amp;ADDRESS(savings_max_row,COLUMN())))</f>
        <v/>
      </c>
      <c r="AM60" s="22">
        <f t="array" ref="AM60"> SUM(INDIRECT(ADDRESS(savings_min_row,COLUMN())&amp;":"&amp;ADDRESS(savings_max_row,COLUMN())))</f>
        <v/>
      </c>
      <c r="AN60" s="22">
        <f t="array" ref="AN60"> SUM(INDIRECT(ADDRESS(savings_min_row,COLUMN())&amp;":"&amp;ADDRESS(savings_max_row,COLUMN())))</f>
        <v/>
      </c>
      <c r="AO60" s="22">
        <f t="array" ref="AO60"> SUM(INDIRECT(ADDRESS(savings_min_row,COLUMN())&amp;":"&amp;ADDRESS(savings_max_row,COLUMN())))</f>
        <v/>
      </c>
      <c r="AP60" s="22">
        <f t="array" ref="AP60"> SUM(INDIRECT(ADDRESS(savings_min_row,COLUMN())&amp;":"&amp;ADDRESS(savings_max_row,COLUMN())))</f>
        <v/>
      </c>
      <c r="AQ60" s="22">
        <f t="array" ref="AQ60"> SUM(INDIRECT(ADDRESS(savings_min_row,COLUMN())&amp;":"&amp;ADDRESS(savings_max_row,COLUMN())))</f>
        <v/>
      </c>
      <c r="AR60" s="22">
        <f t="array" ref="AR60"> SUM(INDIRECT(ADDRESS(savings_min_row,COLUMN())&amp;":"&amp;ADDRESS(savings_max_row,COLUMN())))</f>
        <v/>
      </c>
      <c r="AS60" s="22">
        <f t="array" ref="AS60"> SUM(INDIRECT(ADDRESS(savings_min_row,COLUMN())&amp;":"&amp;ADDRESS(savings_max_row,COLUMN())))</f>
        <v/>
      </c>
      <c r="AU60" s="22">
        <f t="array" ref="AU60"> SUM(INDIRECT(ADDRESS(savings_min_row,COLUMN())&amp;":"&amp;ADDRESS(savings_max_row,COLUMN())))</f>
        <v/>
      </c>
      <c r="AV60" s="22">
        <f t="array" ref="AV60"> SUM(INDIRECT(ADDRESS(savings_min_row,COLUMN())&amp;":"&amp;ADDRESS(savings_max_row,COLUMN())))</f>
        <v/>
      </c>
      <c r="AW60" s="22">
        <f t="array" ref="AW60"> SUM(INDIRECT(ADDRESS(savings_min_row,COLUMN())&amp;":"&amp;ADDRESS(savings_max_row,COLUMN())))</f>
        <v/>
      </c>
      <c r="AX60" s="22">
        <f t="array" ref="AX60"> SUM(INDIRECT(ADDRESS(savings_min_row,COLUMN())&amp;":"&amp;ADDRESS(savings_max_row,COLUMN())))</f>
        <v/>
      </c>
      <c r="AY60" s="22">
        <f t="array" ref="AY60"> SUM(INDIRECT(ADDRESS(savings_min_row,COLUMN())&amp;":"&amp;ADDRESS(savings_max_row,COLUMN())))</f>
        <v/>
      </c>
      <c r="AZ60" s="22">
        <f t="array" ref="AZ60"> SUM(INDIRECT(ADDRESS(savings_min_row,COLUMN())&amp;":"&amp;ADDRESS(savings_max_row,COLUMN())))</f>
        <v/>
      </c>
      <c r="BA60" s="22">
        <f t="array" ref="BA60"> SUM(INDIRECT(ADDRESS(savings_min_row,COLUMN())&amp;":"&amp;ADDRESS(savings_max_row,COLUMN())))</f>
        <v/>
      </c>
      <c r="BB60" s="22">
        <f t="array" ref="BB60"> SUM(INDIRECT(ADDRESS(savings_min_row,COLUMN())&amp;":"&amp;ADDRESS(savings_max_row,COLUMN())))</f>
        <v/>
      </c>
      <c r="BC60" s="22">
        <f t="array" ref="BC60"> SUM(INDIRECT(ADDRESS(savings_min_row,COLUMN())&amp;":"&amp;ADDRESS(savings_max_row,COLUMN())))</f>
        <v/>
      </c>
      <c r="BD60" s="22">
        <f t="array" ref="BD60"> SUM(INDIRECT(ADDRESS(savings_min_row,COLUMN())&amp;":"&amp;ADDRESS(savings_max_row,COLUMN())))</f>
        <v/>
      </c>
      <c r="BE60" s="22">
        <f t="array" ref="BE60"> SUM(INDIRECT(ADDRESS(savings_min_row,COLUMN())&amp;":"&amp;ADDRESS(savings_max_row,COLUMN())))</f>
        <v/>
      </c>
      <c r="BF60" s="22">
        <f t="array" ref="BF60"> SUM(INDIRECT(ADDRESS(savings_min_row,COLUMN())&amp;":"&amp;ADDRESS(savings_max_row,COLUMN())))</f>
        <v/>
      </c>
      <c r="BG60" s="22">
        <f t="array" ref="BG60"> SUM(INDIRECT(ADDRESS(savings_min_row,COLUMN())&amp;":"&amp;ADDRESS(savings_max_row,COLUMN())))</f>
        <v/>
      </c>
      <c r="BI60" s="22">
        <f t="array" ref="BI60"> SUM(INDIRECT(ADDRESS(savings_min_row,COLUMN())&amp;":"&amp;ADDRESS(savings_max_row,COLUMN())))</f>
        <v/>
      </c>
      <c r="BJ60" s="22">
        <f t="array" ref="BJ60"> SUM(INDIRECT(ADDRESS(savings_min_row,COLUMN())&amp;":"&amp;ADDRESS(savings_max_row,COLUMN())))</f>
        <v/>
      </c>
      <c r="BK60" s="22">
        <f t="array" ref="BK60"> SUM(INDIRECT(ADDRESS(savings_min_row,COLUMN())&amp;":"&amp;ADDRESS(savings_max_row,COLUMN())))</f>
        <v/>
      </c>
      <c r="BL60" s="22">
        <f t="array" ref="BL60"> SUM(INDIRECT(ADDRESS(savings_min_row,COLUMN())&amp;":"&amp;ADDRESS(savings_max_row,COLUMN())))</f>
        <v/>
      </c>
      <c r="BM60" s="22">
        <f t="array" ref="BM60"> SUM(INDIRECT(ADDRESS(savings_min_row,COLUMN())&amp;":"&amp;ADDRESS(savings_max_row,COLUMN())))</f>
        <v/>
      </c>
      <c r="BN60" s="22">
        <f t="array" ref="BN60"> SUM(INDIRECT(ADDRESS(savings_min_row,COLUMN())&amp;":"&amp;ADDRESS(savings_max_row,COLUMN())))</f>
        <v/>
      </c>
      <c r="BO60" s="22">
        <f t="array" ref="BO60"> SUM(INDIRECT(ADDRESS(savings_min_row,COLUMN())&amp;":"&amp;ADDRESS(savings_max_row,COLUMN())))</f>
        <v/>
      </c>
      <c r="BP60" s="22">
        <f t="array" ref="BP60"> SUM(INDIRECT(ADDRESS(savings_min_row,COLUMN())&amp;":"&amp;ADDRESS(savings_max_row,COLUMN())))</f>
        <v/>
      </c>
      <c r="BQ60" s="22">
        <f t="array" ref="BQ60"> SUM(INDIRECT(ADDRESS(savings_min_row,COLUMN())&amp;":"&amp;ADDRESS(savings_max_row,COLUMN())))</f>
        <v/>
      </c>
      <c r="BR60" s="22">
        <f t="array" ref="BR60"> SUM(INDIRECT(ADDRESS(savings_min_row,COLUMN())&amp;":"&amp;ADDRESS(savings_max_row,COLUMN())))</f>
        <v/>
      </c>
      <c r="BS60" s="22">
        <f t="array" ref="BS60"> SUM(INDIRECT(ADDRESS(savings_min_row,COLUMN())&amp;":"&amp;ADDRESS(savings_max_row,COLUMN())))</f>
        <v/>
      </c>
      <c r="BT60" s="22">
        <f t="array" ref="BT60"> SUM(INDIRECT(ADDRESS(savings_min_row,COLUMN())&amp;":"&amp;ADDRESS(savings_max_row,COLUMN())))</f>
        <v/>
      </c>
      <c r="BU60" s="22">
        <f t="array" ref="BU60"> SUM(INDIRECT(ADDRESS(savings_min_row,COLUMN())&amp;":"&amp;ADDRESS(savings_max_row,COLUMN())))</f>
        <v/>
      </c>
      <c r="BW60" s="22">
        <f t="array" ref="BW60"> SUM(INDIRECT(ADDRESS(savings_min_row,COLUMN())&amp;":"&amp;ADDRESS(savings_max_row,COLUMN())))</f>
        <v/>
      </c>
      <c r="BX60" s="22">
        <f t="array" ref="BX60"> SUM(INDIRECT(ADDRESS(savings_min_row,COLUMN())&amp;":"&amp;ADDRESS(savings_max_row,COLUMN())))</f>
        <v/>
      </c>
      <c r="BY60" s="22">
        <f t="array" ref="BY60"> SUM(INDIRECT(ADDRESS(savings_min_row,COLUMN())&amp;":"&amp;ADDRESS(savings_max_row,COLUMN())))</f>
        <v/>
      </c>
      <c r="BZ60" s="22">
        <f t="array" ref="BZ60"> SUM(INDIRECT(ADDRESS(savings_min_row,COLUMN())&amp;":"&amp;ADDRESS(savings_max_row,COLUMN())))</f>
        <v/>
      </c>
      <c r="CA60" s="22">
        <f t="array" ref="CA60"> SUM(INDIRECT(ADDRESS(savings_min_row,COLUMN())&amp;":"&amp;ADDRESS(savings_max_row,COLUMN())))</f>
        <v/>
      </c>
      <c r="CB60" s="22">
        <f t="array" ref="CB60"> SUM(INDIRECT(ADDRESS(savings_min_row,COLUMN())&amp;":"&amp;ADDRESS(savings_max_row,COLUMN())))</f>
        <v/>
      </c>
      <c r="CC60" s="22">
        <f t="array" ref="CC60"> SUM(INDIRECT(ADDRESS(savings_min_row,COLUMN())&amp;":"&amp;ADDRESS(savings_max_row,COLUMN())))</f>
        <v/>
      </c>
      <c r="CD60" s="22">
        <f t="array" ref="CD60"> SUM(INDIRECT(ADDRESS(savings_min_row,COLUMN())&amp;":"&amp;ADDRESS(savings_max_row,COLUMN())))</f>
        <v/>
      </c>
      <c r="CE60" s="22">
        <f t="array" ref="CE60"> SUM(INDIRECT(ADDRESS(savings_min_row,COLUMN())&amp;":"&amp;ADDRESS(savings_max_row,COLUMN())))</f>
        <v/>
      </c>
      <c r="CF60" s="22">
        <f t="array" ref="CF60"> SUM(INDIRECT(ADDRESS(savings_min_row,COLUMN())&amp;":"&amp;ADDRESS(savings_max_row,COLUMN())))</f>
        <v/>
      </c>
      <c r="CG60" s="22">
        <f t="array" ref="CG60"> SUM(INDIRECT(ADDRESS(savings_min_row,COLUMN())&amp;":"&amp;ADDRESS(savings_max_row,COLUMN())))</f>
        <v/>
      </c>
      <c r="CH60" s="22">
        <f t="array" ref="CH60"> SUM(INDIRECT(ADDRESS(savings_min_row,COLUMN())&amp;":"&amp;ADDRESS(savings_max_row,COLUMN())))</f>
        <v/>
      </c>
      <c r="CI60" s="22">
        <f t="array" ref="CI60"> SUM(INDIRECT(ADDRESS(savings_min_row,COLUMN())&amp;":"&amp;ADDRESS(savings_max_row,COLUMN())))</f>
        <v/>
      </c>
      <c r="CK60" s="22">
        <f t="array" ref="CK60"> SUM(INDIRECT(ADDRESS(savings_min_row,COLUMN())&amp;":"&amp;ADDRESS(savings_max_row,COLUMN())))</f>
        <v/>
      </c>
      <c r="CL60" s="22">
        <f t="array" ref="CL60"> SUM(INDIRECT(ADDRESS(savings_min_row,COLUMN())&amp;":"&amp;ADDRESS(savings_max_row,COLUMN())))</f>
        <v/>
      </c>
      <c r="CM60" s="22">
        <f t="array" ref="CM60"> SUM(INDIRECT(ADDRESS(savings_min_row,COLUMN())&amp;":"&amp;ADDRESS(savings_max_row,COLUMN())))</f>
        <v/>
      </c>
      <c r="CN60" s="22">
        <f t="array" ref="CN60"> SUM(INDIRECT(ADDRESS(savings_min_row,COLUMN())&amp;":"&amp;ADDRESS(savings_max_row,COLUMN())))</f>
        <v/>
      </c>
      <c r="CO60" s="22">
        <f t="array" ref="CO60"> SUM(INDIRECT(ADDRESS(savings_min_row,COLUMN())&amp;":"&amp;ADDRESS(savings_max_row,COLUMN())))</f>
        <v/>
      </c>
      <c r="CP60" s="22">
        <f t="array" ref="CP60"> SUM(INDIRECT(ADDRESS(savings_min_row,COLUMN())&amp;":"&amp;ADDRESS(savings_max_row,COLUMN())))</f>
        <v/>
      </c>
      <c r="CQ60" s="22">
        <f t="array" ref="CQ60"> SUM(INDIRECT(ADDRESS(savings_min_row,COLUMN())&amp;":"&amp;ADDRESS(savings_max_row,COLUMN())))</f>
        <v/>
      </c>
      <c r="CR60" s="22">
        <f t="array" ref="CR60"> SUM(INDIRECT(ADDRESS(savings_min_row,COLUMN())&amp;":"&amp;ADDRESS(savings_max_row,COLUMN())))</f>
        <v/>
      </c>
      <c r="CS60" s="22">
        <f t="array" ref="CS60"> SUM(INDIRECT(ADDRESS(savings_min_row,COLUMN())&amp;":"&amp;ADDRESS(savings_max_row,COLUMN())))</f>
        <v/>
      </c>
      <c r="CT60" s="22">
        <f t="array" ref="CT60"> SUM(INDIRECT(ADDRESS(savings_min_row,COLUMN())&amp;":"&amp;ADDRESS(savings_max_row,COLUMN())))</f>
        <v/>
      </c>
      <c r="CU60" s="22">
        <f t="array" ref="CU60"> SUM(INDIRECT(ADDRESS(savings_min_row,COLUMN())&amp;":"&amp;ADDRESS(savings_max_row,COLUMN())))</f>
        <v/>
      </c>
      <c r="CV60" s="22">
        <f t="array" ref="CV60"> SUM(INDIRECT(ADDRESS(savings_min_row,COLUMN())&amp;":"&amp;ADDRESS(savings_max_row,COLUMN())))</f>
        <v/>
      </c>
      <c r="CW60" s="22">
        <f t="array" ref="CW60"> SUM(INDIRECT(ADDRESS(savings_min_row,COLUMN())&amp;":"&amp;ADDRESS(savings_max_row,COLUMN())))</f>
        <v/>
      </c>
      <c r="CY60" s="22">
        <f t="array" ref="CY60"> SUM(INDIRECT(ADDRESS(savings_min_row,COLUMN())&amp;":"&amp;ADDRESS(savings_max_row,COLUMN())))</f>
        <v/>
      </c>
      <c r="CZ60" s="22">
        <f t="array" ref="CZ60"> SUM(INDIRECT(ADDRESS(savings_min_row,COLUMN())&amp;":"&amp;ADDRESS(savings_max_row,COLUMN())))</f>
        <v/>
      </c>
      <c r="DA60" s="22">
        <f t="array" ref="DA60"> SUM(INDIRECT(ADDRESS(savings_min_row,COLUMN())&amp;":"&amp;ADDRESS(savings_max_row,COLUMN())))</f>
        <v/>
      </c>
      <c r="DB60" s="22">
        <f t="array" ref="DB60"> SUM(INDIRECT(ADDRESS(savings_min_row,COLUMN())&amp;":"&amp;ADDRESS(savings_max_row,COLUMN())))</f>
        <v/>
      </c>
      <c r="DC60" s="22">
        <f t="array" ref="DC60"> SUM(INDIRECT(ADDRESS(savings_min_row,COLUMN())&amp;":"&amp;ADDRESS(savings_max_row,COLUMN())))</f>
        <v/>
      </c>
      <c r="DD60" s="22">
        <f t="array" ref="DD60"> SUM(INDIRECT(ADDRESS(savings_min_row,COLUMN())&amp;":"&amp;ADDRESS(savings_max_row,COLUMN())))</f>
        <v/>
      </c>
      <c r="DE60" s="22">
        <f t="array" ref="DE60"> SUM(INDIRECT(ADDRESS(savings_min_row,COLUMN())&amp;":"&amp;ADDRESS(savings_max_row,COLUMN())))</f>
        <v/>
      </c>
      <c r="DF60" s="22">
        <f t="array" ref="DF60"> SUM(INDIRECT(ADDRESS(savings_min_row,COLUMN())&amp;":"&amp;ADDRESS(savings_max_row,COLUMN())))</f>
        <v/>
      </c>
      <c r="DG60" s="22">
        <f t="array" ref="DG60"> SUM(INDIRECT(ADDRESS(savings_min_row,COLUMN())&amp;":"&amp;ADDRESS(savings_max_row,COLUMN())))</f>
        <v/>
      </c>
      <c r="DH60" s="22">
        <f t="array" ref="DH60"> SUM(INDIRECT(ADDRESS(savings_min_row,COLUMN())&amp;":"&amp;ADDRESS(savings_max_row,COLUMN())))</f>
        <v/>
      </c>
      <c r="DI60" s="22">
        <f t="array" ref="DI60"> SUM(INDIRECT(ADDRESS(savings_min_row,COLUMN())&amp;":"&amp;ADDRESS(savings_max_row,COLUMN())))</f>
        <v/>
      </c>
      <c r="DJ60" s="22">
        <f t="array" ref="DJ60"> SUM(INDIRECT(ADDRESS(savings_min_row,COLUMN())&amp;":"&amp;ADDRESS(savings_max_row,COLUMN())))</f>
        <v/>
      </c>
      <c r="DK60" s="22">
        <f t="array" ref="DK60"> SUM(INDIRECT(ADDRESS(savings_min_row,COLUMN())&amp;":"&amp;ADDRESS(savings_max_row,COLUMN())))</f>
        <v/>
      </c>
      <c r="DM60" s="22">
        <f t="array" ref="DM60"> SUM(INDIRECT(ADDRESS(savings_min_row,COLUMN())&amp;":"&amp;ADDRESS(savings_max_row,COLUMN())))</f>
        <v/>
      </c>
      <c r="DN60" s="22">
        <f t="array" ref="DN60"> SUM(INDIRECT(ADDRESS(savings_min_row,COLUMN())&amp;":"&amp;ADDRESS(savings_max_row,COLUMN())))</f>
        <v/>
      </c>
      <c r="DO60" s="22">
        <f t="array" ref="DO60"> SUM(INDIRECT(ADDRESS(savings_min_row,COLUMN())&amp;":"&amp;ADDRESS(savings_max_row,COLUMN())))</f>
        <v/>
      </c>
      <c r="DP60" s="22">
        <f t="array" ref="DP60"> SUM(INDIRECT(ADDRESS(savings_min_row,COLUMN())&amp;":"&amp;ADDRESS(savings_max_row,COLUMN())))</f>
        <v/>
      </c>
      <c r="DQ60" s="22">
        <f t="array" ref="DQ60"> SUM(INDIRECT(ADDRESS(savings_min_row,COLUMN())&amp;":"&amp;ADDRESS(savings_max_row,COLUMN())))</f>
        <v/>
      </c>
      <c r="DR60" s="22">
        <f t="array" ref="DR60"> SUM(INDIRECT(ADDRESS(savings_min_row,COLUMN())&amp;":"&amp;ADDRESS(savings_max_row,COLUMN())))</f>
        <v/>
      </c>
      <c r="DS60" s="22">
        <f t="array" ref="DS60"> SUM(INDIRECT(ADDRESS(savings_min_row,COLUMN())&amp;":"&amp;ADDRESS(savings_max_row,COLUMN())))</f>
        <v/>
      </c>
      <c r="DT60" s="22">
        <f t="array" ref="DT60"> SUM(INDIRECT(ADDRESS(savings_min_row,COLUMN())&amp;":"&amp;ADDRESS(savings_max_row,COLUMN())))</f>
        <v/>
      </c>
      <c r="DU60" s="22">
        <f t="array" ref="DU60"> SUM(INDIRECT(ADDRESS(savings_min_row,COLUMN())&amp;":"&amp;ADDRESS(savings_max_row,COLUMN())))</f>
        <v/>
      </c>
      <c r="DV60" s="22">
        <f t="array" ref="DV60"> SUM(INDIRECT(ADDRESS(savings_min_row,COLUMN())&amp;":"&amp;ADDRESS(savings_max_row,COLUMN())))</f>
        <v/>
      </c>
      <c r="DW60" s="22">
        <f t="array" ref="DW60"> SUM(INDIRECT(ADDRESS(savings_min_row,COLUMN())&amp;":"&amp;ADDRESS(savings_max_row,COLUMN())))</f>
        <v/>
      </c>
      <c r="DX60" s="22">
        <f t="array" ref="DX60"> SUM(INDIRECT(ADDRESS(savings_min_row,COLUMN())&amp;":"&amp;ADDRESS(savings_max_row,COLUMN())))</f>
        <v/>
      </c>
      <c r="DY60" s="22">
        <f t="array" ref="DY60"> SUM(INDIRECT(ADDRESS(savings_min_row,COLUMN())&amp;":"&amp;ADDRESS(savings_max_row,COLUMN())))</f>
        <v/>
      </c>
      <c r="EA60" s="22">
        <f t="array" ref="EA60"> SUM(INDIRECT(ADDRESS(savings_min_row,COLUMN())&amp;":"&amp;ADDRESS(savings_max_row,COLUMN())))</f>
        <v/>
      </c>
      <c r="EB60" s="22">
        <f t="array" ref="EB60"> SUM(INDIRECT(ADDRESS(savings_min_row,COLUMN())&amp;":"&amp;ADDRESS(savings_max_row,COLUMN())))</f>
        <v/>
      </c>
      <c r="EC60" s="22">
        <f t="array" ref="EC60"> SUM(INDIRECT(ADDRESS(savings_min_row,COLUMN())&amp;":"&amp;ADDRESS(savings_max_row,COLUMN())))</f>
        <v/>
      </c>
      <c r="ED60" s="22">
        <f t="array" ref="ED60"> SUM(INDIRECT(ADDRESS(savings_min_row,COLUMN())&amp;":"&amp;ADDRESS(savings_max_row,COLUMN())))</f>
        <v/>
      </c>
      <c r="EE60" s="22">
        <f t="array" ref="EE60"> SUM(INDIRECT(ADDRESS(savings_min_row,COLUMN())&amp;":"&amp;ADDRESS(savings_max_row,COLUMN())))</f>
        <v/>
      </c>
      <c r="EF60" s="22">
        <f t="array" ref="EF60"> SUM(INDIRECT(ADDRESS(savings_min_row,COLUMN())&amp;":"&amp;ADDRESS(savings_max_row,COLUMN())))</f>
        <v/>
      </c>
      <c r="EG60" s="22">
        <f t="array" ref="EG60"> SUM(INDIRECT(ADDRESS(savings_min_row,COLUMN())&amp;":"&amp;ADDRESS(savings_max_row,COLUMN())))</f>
        <v/>
      </c>
      <c r="EH60" s="22">
        <f t="array" ref="EH60"> SUM(INDIRECT(ADDRESS(savings_min_row,COLUMN())&amp;":"&amp;ADDRESS(savings_max_row,COLUMN())))</f>
        <v/>
      </c>
      <c r="EI60" s="22">
        <f t="array" ref="EI60"> SUM(INDIRECT(ADDRESS(savings_min_row,COLUMN())&amp;":"&amp;ADDRESS(savings_max_row,COLUMN())))</f>
        <v/>
      </c>
      <c r="EJ60" s="22">
        <f t="array" ref="EJ60"> SUM(INDIRECT(ADDRESS(savings_min_row,COLUMN())&amp;":"&amp;ADDRESS(savings_max_row,COLUMN())))</f>
        <v/>
      </c>
      <c r="EK60" s="22">
        <f t="array" ref="EK60"> SUM(INDIRECT(ADDRESS(savings_min_row,COLUMN())&amp;":"&amp;ADDRESS(savings_max_row,COLUMN())))</f>
        <v/>
      </c>
      <c r="EL60" s="22">
        <f t="array" ref="EL60"> SUM(INDIRECT(ADDRESS(savings_min_row,COLUMN())&amp;":"&amp;ADDRESS(savings_max_row,COLUMN())))</f>
        <v/>
      </c>
      <c r="EM60" s="22">
        <f t="array" ref="EM60"> SUM(INDIRECT(ADDRESS(savings_min_row,COLUMN())&amp;":"&amp;ADDRESS(savings_max_row,COLUMN())))</f>
        <v/>
      </c>
    </row>
    <row r="64">
      <c r="L64" s="111" t="n"/>
      <c r="AJ64" t="inlineStr">
        <is>
          <t> </t>
        </is>
      </c>
      <c r="AX64" t="inlineStr">
        <is>
          <t> </t>
        </is>
      </c>
      <c r="BL64" t="inlineStr">
        <is>
          <t> </t>
        </is>
      </c>
      <c r="BZ64" t="inlineStr">
        <is>
          <t> </t>
        </is>
      </c>
      <c r="CN64" t="inlineStr">
        <is>
          <t> </t>
        </is>
      </c>
      <c r="DB64" t="inlineStr">
        <is>
          <t> </t>
        </is>
      </c>
      <c r="DP64" t="inlineStr">
        <is>
          <t> </t>
        </is>
      </c>
      <c r="ED64" t="inlineStr">
        <is>
          <t> </t>
        </is>
      </c>
    </row>
    <row r="71">
      <c r="C71" s="20" t="n"/>
    </row>
  </sheetData>
  <mergeCells count="11">
    <mergeCell ref="AU5:BG5"/>
    <mergeCell ref="AG5:AS5"/>
    <mergeCell ref="E5:Q5"/>
    <mergeCell ref="BI5:BU5"/>
    <mergeCell ref="CK5:CW5"/>
    <mergeCell ref="BW5:CI5"/>
    <mergeCell ref="EA5:EM5"/>
    <mergeCell ref="CY5:DK5"/>
    <mergeCell ref="DM5:DY5"/>
    <mergeCell ref="S5:AE5"/>
    <mergeCell ref="B1:F3"/>
  </mergeCells>
  <conditionalFormatting sqref="C10:C21 E10:Q21 S10:AE21 AG10:AS21 AU10:BG21 BI10:BU21 BW10:CI21 CK10:CW21 CY10:DK21 DM10:DY21 EA10:EM21">
    <cfRule type="expression" priority="9" dxfId="39">
      <formula>ROW(A10) &lt;= income_max_row</formula>
    </cfRule>
  </conditionalFormatting>
  <conditionalFormatting sqref="C25:C34 E25:Q47 S25:AE47 AG25:AS47 AU25:BG47 BI25:BU47 BW25:CI47 CK25:CW47 CY25:DK47 DM25:DY47 EA25:EM47">
    <cfRule type="expression" priority="8" dxfId="36">
      <formula>ROW(A25) &lt;= expenses_max_row</formula>
    </cfRule>
  </conditionalFormatting>
  <conditionalFormatting sqref="C51:C59 E51:Q59 S51:AE59 AG51:AS59 AU51:BG59 BI51:BU59 BW51:CI59 CK51:CW59 CY51:DK59 DM51:DY59 EA51:EM59">
    <cfRule type="expression" priority="7" dxfId="32">
      <formula>ROW(A51) &lt;= savings_max_row</formula>
    </cfRule>
  </conditionalFormatting>
  <conditionalFormatting sqref="C71">
    <cfRule type="expression" priority="3" dxfId="36">
      <formula>ROW(A71) &lt;= expenses_max_row</formula>
    </cfRule>
  </conditionalFormatting>
  <conditionalFormatting sqref="E6:Q7 S6:AE7 AG6:AS7 AU6:BG7 BI6:BU7 BW6:CI7 CK6:CW7 CY6:DK7 DM6:DY7 EA6:EM7">
    <cfRule type="expression" priority="208" dxfId="35" stopIfTrue="1">
      <formula>AND(E$22=0, E$48=0, E$60=0)</formula>
    </cfRule>
    <cfRule type="expression" priority="209" dxfId="34" stopIfTrue="1">
      <formula>E$7=0</formula>
    </cfRule>
    <cfRule type="expression" priority="210" dxfId="31">
      <formula>E$7&lt;0</formula>
    </cfRule>
  </conditionalFormatting>
  <conditionalFormatting sqref="L64">
    <cfRule type="expression" priority="1" dxfId="32">
      <formula>ROW(J64) &lt;= savings_max_row</formula>
    </cfRule>
  </conditionalFormatting>
  <pageMargins left="0.7" right="0.7" top="0.75" bottom="0.75" header="0.3" footer="0.3"/>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3.xml><?xml version="1.0" encoding="utf-8"?>
<worksheet xmlns="http://schemas.openxmlformats.org/spreadsheetml/2006/main">
  <sheetPr>
    <outlinePr summaryBelow="1" summaryRight="1"/>
    <pageSetUpPr/>
  </sheetPr>
  <dimension ref="B1:U226"/>
  <sheetViews>
    <sheetView showGridLines="0" zoomScale="81" zoomScaleNormal="100" workbookViewId="0">
      <pane ySplit="11" topLeftCell="A12" activePane="bottomLeft" state="frozen"/>
      <selection activeCell="E1" sqref="E1"/>
      <selection pane="bottomLeft" activeCell="N22" sqref="N22"/>
    </sheetView>
  </sheetViews>
  <sheetFormatPr baseColWidth="10" defaultColWidth="10.83203125" defaultRowHeight="16"/>
  <cols>
    <col width="6.1640625" customWidth="1" min="1" max="1"/>
    <col width="3.83203125" customWidth="1" min="2" max="2"/>
    <col width="16.83203125" customWidth="1" min="3" max="3"/>
    <col width="14.33203125" customWidth="1" min="4" max="4"/>
    <col width="21.5" customWidth="1" min="5" max="5"/>
    <col width="13.33203125" customWidth="1" min="6" max="6"/>
    <col width="36.5" customWidth="1" min="7" max="7"/>
    <col width="15.5" customWidth="1" min="8" max="8"/>
    <col width="21.5" customWidth="1" min="9" max="9"/>
    <col width="29" customWidth="1" min="14" max="14"/>
  </cols>
  <sheetData>
    <row r="1" customFormat="1" s="13">
      <c r="B1" s="116" t="inlineStr">
        <is>
          <t>Budget Tracking</t>
        </is>
      </c>
    </row>
    <row r="2" customFormat="1" s="13"/>
    <row r="3" customFormat="1" s="13"/>
    <row r="11">
      <c r="C11" s="14" t="inlineStr">
        <is>
          <t>Date</t>
        </is>
      </c>
      <c r="D11" s="14" t="inlineStr">
        <is>
          <t>Type</t>
        </is>
      </c>
      <c r="E11" s="14" t="inlineStr">
        <is>
          <t>Category</t>
        </is>
      </c>
      <c r="F11" s="14" t="inlineStr">
        <is>
          <t>Amount</t>
        </is>
      </c>
      <c r="G11" s="14" t="inlineStr">
        <is>
          <t>Details</t>
        </is>
      </c>
      <c r="H11" s="40" t="inlineStr">
        <is>
          <t>Balance</t>
        </is>
      </c>
      <c r="I11" s="40" t="inlineStr">
        <is>
          <t>Effective Date</t>
        </is>
      </c>
    </row>
    <row r="12">
      <c r="C12" s="38" t="n">
        <v>45658</v>
      </c>
      <c r="D12" s="16" t="n"/>
      <c r="E12" s="16" t="n"/>
      <c r="F12" s="106" t="n"/>
      <c r="G12" s="20" t="n"/>
      <c r="H12" s="106" t="n"/>
      <c r="I12" s="42">
        <f> IF(AND(tracking[[#This Row],[Type]]="Income", shift_late_income_status="Active", DAY(tracking[[#This Row],[Date]])&gt;=shift_late_income_starting_day), DATE(YEAR(tracking[[#This Row],[Date]]), MONTH(tracking[[#This Row],[Date]])+1, 1), tracking[[#This Row],[Date]])</f>
        <v/>
      </c>
      <c r="L12" s="60" t="n"/>
      <c r="N12" s="60" t="n"/>
      <c r="O12" s="60" t="n"/>
    </row>
    <row r="13">
      <c r="C13" s="38" t="n"/>
      <c r="D13" s="16" t="n"/>
      <c r="E13" s="16" t="n"/>
      <c r="F13" s="106" t="n"/>
      <c r="G13" s="20" t="n"/>
      <c r="H13" s="100" t="n"/>
      <c r="I13" s="42">
        <f> IF(AND(tracking[[#This Row],[Type]]="Income", shift_late_income_status="Active", DAY(tracking[[#This Row],[Date]])&gt;=shift_late_income_starting_day), DATE(YEAR(tracking[[#This Row],[Date]]), MONTH(tracking[[#This Row],[Date]])+1, 1), tracking[[#This Row],[Date]])</f>
        <v/>
      </c>
      <c r="L13" s="60" t="n"/>
      <c r="N13" s="60" t="n"/>
      <c r="O13" s="60" t="n"/>
    </row>
    <row r="14">
      <c r="C14" s="38" t="n"/>
      <c r="D14" s="16" t="n"/>
      <c r="E14" s="16" t="n"/>
      <c r="F14" s="106" t="n"/>
      <c r="G14" s="20" t="n"/>
      <c r="H14" s="106" t="n"/>
      <c r="I14" s="42">
        <f> IF(AND(tracking[[#This Row],[Type]]="Income", shift_late_income_status="Active", DAY(tracking[[#This Row],[Date]])&gt;=shift_late_income_starting_day), DATE(YEAR(tracking[[#This Row],[Date]]), MONTH(tracking[[#This Row],[Date]])+1, 1), tracking[[#This Row],[Date]])</f>
        <v/>
      </c>
    </row>
    <row r="15">
      <c r="C15" s="38" t="n"/>
      <c r="D15" s="16" t="n"/>
      <c r="E15" s="16" t="n"/>
      <c r="F15" s="106" t="n"/>
      <c r="G15" s="20" t="n"/>
      <c r="H15" s="106" t="n"/>
      <c r="I15" s="42">
        <f> IF(AND(tracking[[#This Row],[Type]]="Income", shift_late_income_status="Active", DAY(tracking[[#This Row],[Date]])&gt;=shift_late_income_starting_day), DATE(YEAR(tracking[[#This Row],[Date]]), MONTH(tracking[[#This Row],[Date]])+1, 1), tracking[[#This Row],[Date]])</f>
        <v/>
      </c>
    </row>
    <row r="16">
      <c r="C16" s="38" t="n"/>
      <c r="D16" s="16" t="n"/>
      <c r="E16" s="16" t="n"/>
      <c r="F16" s="106" t="n"/>
      <c r="G16" s="20" t="n"/>
      <c r="H16" s="106" t="n"/>
      <c r="I16" s="42">
        <f> IF(AND(tracking[[#This Row],[Type]]="Income", shift_late_income_status="Active", DAY(tracking[[#This Row],[Date]])&gt;=shift_late_income_starting_day), DATE(YEAR(tracking[[#This Row],[Date]]), MONTH(tracking[[#This Row],[Date]])+1, 1), tracking[[#This Row],[Date]])</f>
        <v/>
      </c>
    </row>
    <row r="17">
      <c r="C17" s="38" t="n"/>
      <c r="D17" s="16" t="n"/>
      <c r="E17" s="16" t="n"/>
      <c r="F17" s="106" t="n"/>
      <c r="G17" s="20" t="n"/>
      <c r="H17" s="106" t="n"/>
      <c r="I17" s="42">
        <f> IF(AND(tracking[[#This Row],[Type]]="Income", shift_late_income_status="Active", DAY(tracking[[#This Row],[Date]])&gt;=shift_late_income_starting_day), DATE(YEAR(tracking[[#This Row],[Date]]), MONTH(tracking[[#This Row],[Date]])+1, 1), tracking[[#This Row],[Date]])</f>
        <v/>
      </c>
    </row>
    <row r="18">
      <c r="C18" s="38" t="n"/>
      <c r="D18" s="16" t="n"/>
      <c r="E18" s="16" t="n"/>
      <c r="F18" s="106" t="n"/>
      <c r="G18" s="20" t="n"/>
      <c r="H18" s="106" t="n"/>
      <c r="I18" s="42">
        <f> IF(AND(tracking[[#This Row],[Type]]="Income", shift_late_income_status="Active", DAY(tracking[[#This Row],[Date]])&gt;=shift_late_income_starting_day), DATE(YEAR(tracking[[#This Row],[Date]]), MONTH(tracking[[#This Row],[Date]])+1, 1), tracking[[#This Row],[Date]])</f>
        <v/>
      </c>
    </row>
    <row r="19">
      <c r="C19" s="38" t="n"/>
      <c r="D19" s="16" t="n"/>
      <c r="E19" s="16" t="n"/>
      <c r="F19" s="106" t="n"/>
      <c r="G19" s="20" t="n"/>
      <c r="H19" s="106" t="n"/>
      <c r="I19" s="42">
        <f> IF(AND(tracking[[#This Row],[Type]]="Income", shift_late_income_status="Active", DAY(tracking[[#This Row],[Date]])&gt;=shift_late_income_starting_day), DATE(YEAR(tracking[[#This Row],[Date]]), MONTH(tracking[[#This Row],[Date]])+1, 1), tracking[[#This Row],[Date]])</f>
        <v/>
      </c>
    </row>
    <row r="20">
      <c r="C20" s="38" t="n"/>
      <c r="D20" s="16" t="n"/>
      <c r="E20" s="16" t="n"/>
      <c r="F20" s="106" t="n"/>
      <c r="G20" s="20" t="n"/>
      <c r="H20" s="106" t="n"/>
      <c r="I20" s="42">
        <f> IF(AND(tracking[[#This Row],[Type]]="Income", shift_late_income_status="Active", DAY(tracking[[#This Row],[Date]])&gt;=shift_late_income_starting_day), DATE(YEAR(tracking[[#This Row],[Date]]), MONTH(tracking[[#This Row],[Date]])+1, 1), tracking[[#This Row],[Date]])</f>
        <v/>
      </c>
    </row>
    <row r="21">
      <c r="C21" s="38" t="n"/>
      <c r="D21" s="16" t="n"/>
      <c r="E21" s="16" t="n"/>
      <c r="F21" s="106" t="n"/>
      <c r="G21" s="20" t="n"/>
      <c r="H21" s="106" t="n"/>
      <c r="I21" s="42">
        <f> IF(AND(tracking[[#This Row],[Type]]="Income", shift_late_income_status="Active", DAY(tracking[[#This Row],[Date]])&gt;=shift_late_income_starting_day), DATE(YEAR(tracking[[#This Row],[Date]]), MONTH(tracking[[#This Row],[Date]])+1, 1), tracking[[#This Row],[Date]])</f>
        <v/>
      </c>
    </row>
    <row r="22">
      <c r="C22" s="38" t="n"/>
      <c r="D22" s="16" t="n"/>
      <c r="E22" s="16" t="n"/>
      <c r="F22" s="106" t="n"/>
      <c r="G22" s="20" t="n"/>
      <c r="H22" s="106" t="n"/>
      <c r="I22" s="42">
        <f> IF(AND(tracking[[#This Row],[Type]]="Income", shift_late_income_status="Active", DAY(tracking[[#This Row],[Date]])&gt;=shift_late_income_starting_day), DATE(YEAR(tracking[[#This Row],[Date]]), MONTH(tracking[[#This Row],[Date]])+1, 1), tracking[[#This Row],[Date]])</f>
        <v/>
      </c>
    </row>
    <row r="23">
      <c r="C23" s="38" t="n"/>
      <c r="D23" s="16" t="n"/>
      <c r="E23" s="16" t="n"/>
      <c r="F23" s="106" t="n"/>
      <c r="G23" s="20" t="n"/>
      <c r="H23" s="106" t="n"/>
      <c r="I23" s="42">
        <f> IF(AND(tracking[[#This Row],[Type]]="Income", shift_late_income_status="Active", DAY(tracking[[#This Row],[Date]])&gt;=shift_late_income_starting_day), DATE(YEAR(tracking[[#This Row],[Date]]), MONTH(tracking[[#This Row],[Date]])+1, 1), tracking[[#This Row],[Date]])</f>
        <v/>
      </c>
    </row>
    <row r="24">
      <c r="C24" s="38" t="n"/>
      <c r="D24" s="16" t="n"/>
      <c r="E24" s="16" t="n"/>
      <c r="F24" s="106" t="n"/>
      <c r="G24" s="20" t="n"/>
      <c r="H24" s="106" t="n"/>
      <c r="I24" s="42">
        <f> IF(AND(tracking[[#This Row],[Type]]="Income", shift_late_income_status="Active", DAY(tracking[[#This Row],[Date]])&gt;=shift_late_income_starting_day), DATE(YEAR(tracking[[#This Row],[Date]]), MONTH(tracking[[#This Row],[Date]])+1, 1), tracking[[#This Row],[Date]])</f>
        <v/>
      </c>
    </row>
    <row r="25">
      <c r="C25" s="38" t="n"/>
      <c r="D25" s="16" t="n"/>
      <c r="E25" s="16" t="n"/>
      <c r="F25" s="106" t="n"/>
      <c r="G25" s="20" t="n"/>
      <c r="H25" s="106" t="n"/>
      <c r="I25" s="42">
        <f> IF(AND(tracking[[#This Row],[Type]]="Income", shift_late_income_status="Active", DAY(tracking[[#This Row],[Date]])&gt;=shift_late_income_starting_day), DATE(YEAR(tracking[[#This Row],[Date]]), MONTH(tracking[[#This Row],[Date]])+1, 1), tracking[[#This Row],[Date]])</f>
        <v/>
      </c>
    </row>
    <row r="26">
      <c r="C26" s="38" t="n"/>
      <c r="D26" s="16" t="n"/>
      <c r="E26" s="16" t="n"/>
      <c r="F26" s="106" t="n"/>
      <c r="G26" s="20" t="n"/>
      <c r="H26" s="106" t="n"/>
      <c r="I26" s="42">
        <f> IF(AND(tracking[[#This Row],[Type]]="Income", shift_late_income_status="Active", DAY(tracking[[#This Row],[Date]])&gt;=shift_late_income_starting_day), DATE(YEAR(tracking[[#This Row],[Date]]), MONTH(tracking[[#This Row],[Date]])+1, 1), tracking[[#This Row],[Date]])</f>
        <v/>
      </c>
    </row>
    <row r="27">
      <c r="C27" s="38" t="n"/>
      <c r="D27" s="16" t="n"/>
      <c r="E27" s="16" t="n"/>
      <c r="F27" s="106" t="n"/>
      <c r="G27" s="20" t="n"/>
      <c r="H27" s="106" t="n"/>
      <c r="I27" s="42">
        <f> IF(AND(tracking[[#This Row],[Type]]="Income", shift_late_income_status="Active", DAY(tracking[[#This Row],[Date]])&gt;=shift_late_income_starting_day), DATE(YEAR(tracking[[#This Row],[Date]]), MONTH(tracking[[#This Row],[Date]])+1, 1), tracking[[#This Row],[Date]])</f>
        <v/>
      </c>
    </row>
    <row r="28">
      <c r="C28" s="38" t="n"/>
      <c r="D28" s="16" t="n"/>
      <c r="E28" s="16" t="n"/>
      <c r="F28" s="106" t="n"/>
      <c r="G28" s="20" t="n"/>
      <c r="H28" s="106" t="n"/>
      <c r="I28" s="42">
        <f> IF(AND(tracking[[#This Row],[Type]]="Income", shift_late_income_status="Active", DAY(tracking[[#This Row],[Date]])&gt;=shift_late_income_starting_day), DATE(YEAR(tracking[[#This Row],[Date]]), MONTH(tracking[[#This Row],[Date]])+1, 1), tracking[[#This Row],[Date]])</f>
        <v/>
      </c>
    </row>
    <row r="29">
      <c r="C29" s="38" t="n"/>
      <c r="D29" s="16" t="n"/>
      <c r="E29" s="16" t="n"/>
      <c r="F29" s="100" t="n"/>
      <c r="G29" s="20" t="n"/>
      <c r="H29" s="100" t="n"/>
      <c r="I29" s="42">
        <f> IF(AND(tracking[[#This Row],[Type]]="Income", shift_late_income_status="Active", DAY(tracking[[#This Row],[Date]])&gt;=shift_late_income_starting_day), DATE(YEAR(tracking[[#This Row],[Date]]), MONTH(tracking[[#This Row],[Date]])+1, 1), tracking[[#This Row],[Date]])</f>
        <v/>
      </c>
    </row>
    <row r="30">
      <c r="C30" s="38" t="n"/>
      <c r="D30" s="16" t="n"/>
      <c r="E30" s="16" t="n"/>
      <c r="F30" s="100" t="n"/>
      <c r="G30" s="20" t="n"/>
      <c r="H30" s="100" t="n"/>
      <c r="I30" s="42">
        <f> IF(AND(tracking[[#This Row],[Type]]="Income", shift_late_income_status="Active", DAY(tracking[[#This Row],[Date]])&gt;=shift_late_income_starting_day), DATE(YEAR(tracking[[#This Row],[Date]]), MONTH(tracking[[#This Row],[Date]])+1, 1), tracking[[#This Row],[Date]])</f>
        <v/>
      </c>
    </row>
    <row r="31">
      <c r="C31" s="38" t="n"/>
      <c r="D31" s="16" t="n"/>
      <c r="E31" s="16" t="n"/>
      <c r="F31" s="100" t="n"/>
      <c r="G31" s="20" t="n"/>
      <c r="H31" s="100" t="n"/>
      <c r="I31" s="42">
        <f> IF(AND(tracking[[#This Row],[Type]]="Income", shift_late_income_status="Active", DAY(tracking[[#This Row],[Date]])&gt;=shift_late_income_starting_day), DATE(YEAR(tracking[[#This Row],[Date]]), MONTH(tracking[[#This Row],[Date]])+1, 1), tracking[[#This Row],[Date]])</f>
        <v/>
      </c>
    </row>
    <row r="32">
      <c r="C32" s="38" t="n"/>
      <c r="D32" s="16" t="n"/>
      <c r="E32" s="16" t="n"/>
      <c r="F32" s="100" t="n"/>
      <c r="G32" s="20" t="n"/>
      <c r="H32" s="100" t="n"/>
      <c r="I32" s="42">
        <f> IF(AND(tracking[[#This Row],[Type]]="Income", shift_late_income_status="Active", DAY(tracking[[#This Row],[Date]])&gt;=shift_late_income_starting_day), DATE(YEAR(tracking[[#This Row],[Date]]), MONTH(tracking[[#This Row],[Date]])+1, 1), tracking[[#This Row],[Date]])</f>
        <v/>
      </c>
    </row>
    <row r="33">
      <c r="C33" s="38" t="n"/>
      <c r="D33" s="16" t="n"/>
      <c r="E33" s="16" t="n"/>
      <c r="F33" s="106" t="n"/>
      <c r="G33" s="20" t="n"/>
      <c r="H33" s="106" t="n"/>
      <c r="I33" s="42">
        <f> IF(AND(tracking[[#This Row],[Type]]="Income", shift_late_income_status="Active", DAY(tracking[[#This Row],[Date]])&gt;=shift_late_income_starting_day), DATE(YEAR(tracking[[#This Row],[Date]]), MONTH(tracking[[#This Row],[Date]])+1, 1), tracking[[#This Row],[Date]])</f>
        <v/>
      </c>
    </row>
    <row r="34">
      <c r="C34" s="38" t="n"/>
      <c r="D34" s="16" t="n"/>
      <c r="E34" s="16" t="n"/>
      <c r="F34" s="106" t="n"/>
      <c r="G34" s="20" t="n"/>
      <c r="H34" s="106" t="n"/>
      <c r="I34" s="42">
        <f> IF(AND(tracking[[#This Row],[Type]]="Income", shift_late_income_status="Active", DAY(tracking[[#This Row],[Date]])&gt;=shift_late_income_starting_day), DATE(YEAR(tracking[[#This Row],[Date]]), MONTH(tracking[[#This Row],[Date]])+1, 1), tracking[[#This Row],[Date]])</f>
        <v/>
      </c>
    </row>
    <row r="35">
      <c r="C35" s="38" t="n"/>
      <c r="D35" s="16" t="n"/>
      <c r="E35" s="16" t="n"/>
      <c r="F35" s="106" t="n"/>
      <c r="G35" s="20" t="n"/>
      <c r="H35" s="106" t="n"/>
      <c r="I35" s="42">
        <f> IF(AND(tracking[[#This Row],[Type]]="Income", shift_late_income_status="Active", DAY(tracking[[#This Row],[Date]])&gt;=shift_late_income_starting_day), DATE(YEAR(tracking[[#This Row],[Date]]), MONTH(tracking[[#This Row],[Date]])+1, 1), tracking[[#This Row],[Date]])</f>
        <v/>
      </c>
    </row>
    <row r="36">
      <c r="C36" s="38" t="n"/>
      <c r="D36" s="16" t="n"/>
      <c r="E36" s="16" t="n"/>
      <c r="F36" s="106" t="n"/>
      <c r="G36" s="20" t="n"/>
      <c r="H36" s="106" t="n"/>
      <c r="I36" s="42">
        <f> IF(AND(tracking[[#This Row],[Type]]="Income", shift_late_income_status="Active", DAY(tracking[[#This Row],[Date]])&gt;=shift_late_income_starting_day), DATE(YEAR(tracking[[#This Row],[Date]]), MONTH(tracking[[#This Row],[Date]])+1, 1), tracking[[#This Row],[Date]])</f>
        <v/>
      </c>
    </row>
    <row r="37">
      <c r="C37" s="38" t="n"/>
      <c r="D37" s="16" t="n"/>
      <c r="E37" s="16" t="n"/>
      <c r="F37" s="106" t="n"/>
      <c r="G37" s="20" t="n"/>
      <c r="H37" s="106" t="n"/>
      <c r="I37" s="42">
        <f> IF(AND(tracking[[#This Row],[Type]]="Income", shift_late_income_status="Active", DAY(tracking[[#This Row],[Date]])&gt;=shift_late_income_starting_day), DATE(YEAR(tracking[[#This Row],[Date]]), MONTH(tracking[[#This Row],[Date]])+1, 1), tracking[[#This Row],[Date]])</f>
        <v/>
      </c>
    </row>
    <row r="38">
      <c r="C38" s="38" t="n"/>
      <c r="D38" s="16" t="n"/>
      <c r="E38" s="16" t="n"/>
      <c r="F38" s="106" t="n"/>
      <c r="G38" s="20" t="n"/>
      <c r="H38" s="106" t="n"/>
      <c r="I38" s="42">
        <f> IF(AND(tracking[[#This Row],[Type]]="Income", shift_late_income_status="Active", DAY(tracking[[#This Row],[Date]])&gt;=shift_late_income_starting_day), DATE(YEAR(tracking[[#This Row],[Date]]), MONTH(tracking[[#This Row],[Date]])+1, 1), tracking[[#This Row],[Date]])</f>
        <v/>
      </c>
    </row>
    <row r="39">
      <c r="C39" s="38" t="n"/>
      <c r="D39" s="16" t="n"/>
      <c r="E39" s="16" t="n"/>
      <c r="F39" s="106" t="n"/>
      <c r="G39" s="20" t="n"/>
      <c r="H39" s="106" t="n"/>
      <c r="I39" s="42">
        <f> IF(AND(tracking[[#This Row],[Type]]="Income", shift_late_income_status="Active", DAY(tracking[[#This Row],[Date]])&gt;=shift_late_income_starting_day), DATE(YEAR(tracking[[#This Row],[Date]]), MONTH(tracking[[#This Row],[Date]])+1, 1), tracking[[#This Row],[Date]])</f>
        <v/>
      </c>
    </row>
    <row r="40">
      <c r="C40" s="38" t="n"/>
      <c r="D40" s="16" t="n"/>
      <c r="E40" s="16" t="n"/>
      <c r="F40" s="106" t="n"/>
      <c r="G40" s="20" t="n"/>
      <c r="H40" s="106" t="n"/>
      <c r="I40" s="42">
        <f> IF(AND(tracking[[#This Row],[Type]]="Income", shift_late_income_status="Active", DAY(tracking[[#This Row],[Date]])&gt;=shift_late_income_starting_day), DATE(YEAR(tracking[[#This Row],[Date]]), MONTH(tracking[[#This Row],[Date]])+1, 1), tracking[[#This Row],[Date]])</f>
        <v/>
      </c>
    </row>
    <row r="41">
      <c r="C41" s="38" t="n"/>
      <c r="D41" s="16" t="n"/>
      <c r="E41" s="16" t="n"/>
      <c r="F41" s="106" t="n"/>
      <c r="G41" s="20" t="n"/>
      <c r="H41" s="106" t="n"/>
      <c r="I41" s="42">
        <f> IF(AND(tracking[[#This Row],[Type]]="Income", shift_late_income_status="Active", DAY(tracking[[#This Row],[Date]])&gt;=shift_late_income_starting_day), DATE(YEAR(tracking[[#This Row],[Date]]), MONTH(tracking[[#This Row],[Date]])+1, 1), tracking[[#This Row],[Date]])</f>
        <v/>
      </c>
    </row>
    <row r="42">
      <c r="C42" s="38" t="n"/>
      <c r="D42" s="16" t="n"/>
      <c r="E42" s="16" t="n"/>
      <c r="F42" s="106" t="n"/>
      <c r="G42" s="20" t="n"/>
      <c r="H42" s="106" t="n"/>
      <c r="I42" s="42">
        <f> IF(AND(tracking[[#This Row],[Type]]="Income", shift_late_income_status="Active", DAY(tracking[[#This Row],[Date]])&gt;=shift_late_income_starting_day), DATE(YEAR(tracking[[#This Row],[Date]]), MONTH(tracking[[#This Row],[Date]])+1, 1), tracking[[#This Row],[Date]])</f>
        <v/>
      </c>
    </row>
    <row r="43">
      <c r="C43" s="38" t="n"/>
      <c r="D43" s="16" t="n"/>
      <c r="E43" s="16" t="n"/>
      <c r="F43" s="106" t="n"/>
      <c r="G43" s="20" t="n"/>
      <c r="H43" s="100" t="n"/>
      <c r="I43" s="42">
        <f> IF(AND(tracking[[#This Row],[Type]]="Income", shift_late_income_status="Active", DAY(tracking[[#This Row],[Date]])&gt;=shift_late_income_starting_day), DATE(YEAR(tracking[[#This Row],[Date]]), MONTH(tracking[[#This Row],[Date]])+1, 1), tracking[[#This Row],[Date]])</f>
        <v/>
      </c>
    </row>
    <row r="44">
      <c r="C44" s="38" t="n"/>
      <c r="D44" s="16" t="n"/>
      <c r="E44" s="16" t="n"/>
      <c r="F44" s="106" t="n"/>
      <c r="G44" s="20" t="n"/>
      <c r="H44" s="106" t="n"/>
      <c r="I44" s="42">
        <f> IF(AND(tracking[[#This Row],[Type]]="Income", shift_late_income_status="Active", DAY(tracking[[#This Row],[Date]])&gt;=shift_late_income_starting_day), DATE(YEAR(tracking[[#This Row],[Date]]), MONTH(tracking[[#This Row],[Date]])+1, 1), tracking[[#This Row],[Date]])</f>
        <v/>
      </c>
    </row>
    <row r="45">
      <c r="C45" s="38" t="n"/>
      <c r="D45" s="16" t="n"/>
      <c r="E45" s="16" t="n"/>
      <c r="F45" s="106" t="n"/>
      <c r="G45" s="20" t="n"/>
      <c r="H45" s="106" t="n"/>
      <c r="I45" s="42">
        <f> IF(AND(tracking[[#This Row],[Type]]="Income", shift_late_income_status="Active", DAY(tracking[[#This Row],[Date]])&gt;=shift_late_income_starting_day), DATE(YEAR(tracking[[#This Row],[Date]]), MONTH(tracking[[#This Row],[Date]])+1, 1), tracking[[#This Row],[Date]])</f>
        <v/>
      </c>
    </row>
    <row r="46">
      <c r="C46" s="38" t="n"/>
      <c r="D46" s="16" t="n"/>
      <c r="E46" s="16" t="n"/>
      <c r="F46" s="106" t="n"/>
      <c r="G46" s="20" t="n"/>
      <c r="H46" s="106" t="n"/>
      <c r="I46" s="42">
        <f> IF(AND(tracking[[#This Row],[Type]]="Income", shift_late_income_status="Active", DAY(tracking[[#This Row],[Date]])&gt;=shift_late_income_starting_day), DATE(YEAR(tracking[[#This Row],[Date]]), MONTH(tracking[[#This Row],[Date]])+1, 1), tracking[[#This Row],[Date]])</f>
        <v/>
      </c>
    </row>
    <row r="47">
      <c r="C47" s="38" t="n"/>
      <c r="D47" s="16" t="n"/>
      <c r="E47" s="16" t="n"/>
      <c r="F47" s="106" t="n"/>
      <c r="G47" s="20" t="n"/>
      <c r="H47" s="106" t="n"/>
      <c r="I47" s="42">
        <f> IF(AND(tracking[[#This Row],[Type]]="Income", shift_late_income_status="Active", DAY(tracking[[#This Row],[Date]])&gt;=shift_late_income_starting_day), DATE(YEAR(tracking[[#This Row],[Date]]), MONTH(tracking[[#This Row],[Date]])+1, 1), tracking[[#This Row],[Date]])</f>
        <v/>
      </c>
    </row>
    <row r="48">
      <c r="C48" s="38" t="n"/>
      <c r="D48" s="16" t="n"/>
      <c r="E48" s="16" t="n"/>
      <c r="F48" s="106" t="n"/>
      <c r="G48" s="20" t="n"/>
      <c r="H48" s="106" t="n"/>
      <c r="I48" s="42">
        <f> IF(AND(tracking[[#This Row],[Type]]="Income", shift_late_income_status="Active", DAY(tracking[[#This Row],[Date]])&gt;=shift_late_income_starting_day), DATE(YEAR(tracking[[#This Row],[Date]]), MONTH(tracking[[#This Row],[Date]])+1, 1), tracking[[#This Row],[Date]])</f>
        <v/>
      </c>
    </row>
    <row r="49">
      <c r="C49" s="38" t="n"/>
      <c r="D49" s="16" t="n"/>
      <c r="E49" s="16" t="n"/>
      <c r="F49" s="106" t="n"/>
      <c r="G49" s="20" t="n"/>
      <c r="H49" s="106" t="n"/>
      <c r="I49" s="42">
        <f> IF(AND(tracking[[#This Row],[Type]]="Income", shift_late_income_status="Active", DAY(tracking[[#This Row],[Date]])&gt;=shift_late_income_starting_day), DATE(YEAR(tracking[[#This Row],[Date]]), MONTH(tracking[[#This Row],[Date]])+1, 1), tracking[[#This Row],[Date]])</f>
        <v/>
      </c>
    </row>
    <row r="50">
      <c r="C50" s="38" t="n"/>
      <c r="D50" s="16" t="n"/>
      <c r="E50" s="16" t="n"/>
      <c r="F50" s="106" t="n"/>
      <c r="G50" s="20" t="n"/>
      <c r="H50" s="106" t="n"/>
      <c r="I50" s="42">
        <f> IF(AND(tracking[[#This Row],[Type]]="Income", shift_late_income_status="Active", DAY(tracking[[#This Row],[Date]])&gt;=shift_late_income_starting_day), DATE(YEAR(tracking[[#This Row],[Date]]), MONTH(tracking[[#This Row],[Date]])+1, 1), tracking[[#This Row],[Date]])</f>
        <v/>
      </c>
    </row>
    <row r="51">
      <c r="C51" s="38" t="n"/>
      <c r="D51" s="16" t="n"/>
      <c r="E51" s="16" t="n"/>
      <c r="F51" s="106" t="n"/>
      <c r="G51" s="20" t="n"/>
      <c r="H51" s="106" t="n"/>
      <c r="I51" s="42">
        <f> IF(AND(tracking[[#This Row],[Type]]="Income", shift_late_income_status="Active", DAY(tracking[[#This Row],[Date]])&gt;=shift_late_income_starting_day), DATE(YEAR(tracking[[#This Row],[Date]]), MONTH(tracking[[#This Row],[Date]])+1, 1), tracking[[#This Row],[Date]])</f>
        <v/>
      </c>
    </row>
    <row r="52">
      <c r="C52" s="38" t="n"/>
      <c r="D52" s="16" t="n"/>
      <c r="E52" s="16" t="n"/>
      <c r="F52" s="106" t="n"/>
      <c r="G52" s="20" t="n"/>
      <c r="H52" s="106" t="n"/>
      <c r="I52" s="42">
        <f> IF(AND(tracking[[#This Row],[Type]]="Income", shift_late_income_status="Active", DAY(tracking[[#This Row],[Date]])&gt;=shift_late_income_starting_day), DATE(YEAR(tracking[[#This Row],[Date]]), MONTH(tracking[[#This Row],[Date]])+1, 1), tracking[[#This Row],[Date]])</f>
        <v/>
      </c>
    </row>
    <row r="53">
      <c r="C53" s="38" t="n"/>
      <c r="D53" s="16" t="n"/>
      <c r="E53" s="16" t="n"/>
      <c r="F53" s="106" t="n"/>
      <c r="G53" s="20" t="n"/>
      <c r="H53" s="106" t="n"/>
      <c r="I53" s="42">
        <f> IF(AND(tracking[[#This Row],[Type]]="Income", shift_late_income_status="Active", DAY(tracking[[#This Row],[Date]])&gt;=shift_late_income_starting_day), DATE(YEAR(tracking[[#This Row],[Date]]), MONTH(tracking[[#This Row],[Date]])+1, 1), tracking[[#This Row],[Date]])</f>
        <v/>
      </c>
    </row>
    <row r="54">
      <c r="C54" s="38" t="n"/>
      <c r="D54" s="16" t="n"/>
      <c r="E54" s="16" t="n"/>
      <c r="F54" s="106" t="n"/>
      <c r="G54" s="20" t="n"/>
      <c r="H54" s="106" t="n"/>
      <c r="I54" s="42">
        <f> IF(AND(tracking[[#This Row],[Type]]="Income", shift_late_income_status="Active", DAY(tracking[[#This Row],[Date]])&gt;=shift_late_income_starting_day), DATE(YEAR(tracking[[#This Row],[Date]]), MONTH(tracking[[#This Row],[Date]])+1, 1), tracking[[#This Row],[Date]])</f>
        <v/>
      </c>
    </row>
    <row r="55">
      <c r="C55" s="38" t="n"/>
      <c r="D55" s="16" t="n"/>
      <c r="E55" s="16" t="n"/>
      <c r="F55" s="106" t="n"/>
      <c r="G55" s="20" t="n"/>
      <c r="H55" s="106" t="n"/>
      <c r="I55" s="42">
        <f> IF(AND(tracking[[#This Row],[Type]]="Income", shift_late_income_status="Active", DAY(tracking[[#This Row],[Date]])&gt;=shift_late_income_starting_day), DATE(YEAR(tracking[[#This Row],[Date]]), MONTH(tracking[[#This Row],[Date]])+1, 1), tracking[[#This Row],[Date]])</f>
        <v/>
      </c>
    </row>
    <row r="56">
      <c r="C56" s="38" t="n"/>
      <c r="D56" s="16" t="n"/>
      <c r="E56" s="16" t="n"/>
      <c r="F56" s="106" t="n"/>
      <c r="G56" s="20" t="n"/>
      <c r="H56" s="106" t="n"/>
      <c r="I56" s="42">
        <f> IF(AND(tracking[[#This Row],[Type]]="Income", shift_late_income_status="Active", DAY(tracking[[#This Row],[Date]])&gt;=shift_late_income_starting_day), DATE(YEAR(tracking[[#This Row],[Date]]), MONTH(tracking[[#This Row],[Date]])+1, 1), tracking[[#This Row],[Date]])</f>
        <v/>
      </c>
    </row>
    <row r="57">
      <c r="C57" s="38" t="n"/>
      <c r="D57" s="16" t="n"/>
      <c r="E57" s="16" t="n"/>
      <c r="F57" s="106" t="n"/>
      <c r="G57" s="20" t="n"/>
      <c r="H57" s="106" t="n"/>
      <c r="I57" s="42">
        <f> IF(AND(tracking[[#This Row],[Type]]="Income", shift_late_income_status="Active", DAY(tracking[[#This Row],[Date]])&gt;=shift_late_income_starting_day), DATE(YEAR(tracking[[#This Row],[Date]]), MONTH(tracking[[#This Row],[Date]])+1, 1), tracking[[#This Row],[Date]])</f>
        <v/>
      </c>
    </row>
    <row r="58">
      <c r="C58" s="38" t="n"/>
      <c r="D58" s="16" t="n"/>
      <c r="E58" s="16" t="n"/>
      <c r="F58" s="106" t="n"/>
      <c r="G58" s="20" t="n"/>
      <c r="H58" s="106" t="n"/>
      <c r="I58" s="42">
        <f> IF(AND(tracking[[#This Row],[Type]]="Income", shift_late_income_status="Active", DAY(tracking[[#This Row],[Date]])&gt;=shift_late_income_starting_day), DATE(YEAR(tracking[[#This Row],[Date]]), MONTH(tracking[[#This Row],[Date]])+1, 1), tracking[[#This Row],[Date]])</f>
        <v/>
      </c>
    </row>
    <row r="59">
      <c r="C59" s="38" t="n"/>
      <c r="D59" s="16" t="n"/>
      <c r="E59" s="16" t="n"/>
      <c r="F59" s="106" t="n"/>
      <c r="G59" s="20" t="n"/>
      <c r="H59" s="106" t="n"/>
      <c r="I59" s="42">
        <f> IF(AND(tracking[[#This Row],[Type]]="Income", shift_late_income_status="Active", DAY(tracking[[#This Row],[Date]])&gt;=shift_late_income_starting_day), DATE(YEAR(tracking[[#This Row],[Date]]), MONTH(tracking[[#This Row],[Date]])+1, 1), tracking[[#This Row],[Date]])</f>
        <v/>
      </c>
    </row>
    <row r="60">
      <c r="C60" s="38" t="n"/>
      <c r="D60" s="16" t="n"/>
      <c r="E60" s="16" t="n"/>
      <c r="F60" s="106" t="n"/>
      <c r="G60" s="20" t="n"/>
      <c r="H60" s="106" t="n"/>
      <c r="I60" s="42">
        <f> IF(AND(tracking[[#This Row],[Type]]="Income", shift_late_income_status="Active", DAY(tracking[[#This Row],[Date]])&gt;=shift_late_income_starting_day), DATE(YEAR(tracking[[#This Row],[Date]]), MONTH(tracking[[#This Row],[Date]])+1, 1), tracking[[#This Row],[Date]])</f>
        <v/>
      </c>
    </row>
    <row r="61">
      <c r="C61" s="38" t="n"/>
      <c r="D61" s="16" t="n"/>
      <c r="E61" s="16" t="n"/>
      <c r="F61" s="106" t="n"/>
      <c r="G61" s="20" t="n"/>
      <c r="H61" s="106" t="n"/>
      <c r="I61" s="42">
        <f> IF(AND(tracking[[#This Row],[Type]]="Income", shift_late_income_status="Active", DAY(tracking[[#This Row],[Date]])&gt;=shift_late_income_starting_day), DATE(YEAR(tracking[[#This Row],[Date]]), MONTH(tracking[[#This Row],[Date]])+1, 1), tracking[[#This Row],[Date]])</f>
        <v/>
      </c>
    </row>
    <row r="62">
      <c r="C62" s="38" t="n"/>
      <c r="D62" s="16" t="n"/>
      <c r="E62" s="16" t="n"/>
      <c r="F62" s="106" t="n"/>
      <c r="G62" s="20" t="n"/>
      <c r="H62" s="106" t="n"/>
      <c r="I62" s="42">
        <f> IF(AND(tracking[[#This Row],[Type]]="Income", shift_late_income_status="Active", DAY(tracking[[#This Row],[Date]])&gt;=shift_late_income_starting_day), DATE(YEAR(tracking[[#This Row],[Date]]), MONTH(tracking[[#This Row],[Date]])+1, 1), tracking[[#This Row],[Date]])</f>
        <v/>
      </c>
    </row>
    <row r="63">
      <c r="C63" s="38" t="n"/>
      <c r="D63" s="16" t="n"/>
      <c r="E63" s="16" t="n"/>
      <c r="F63" s="106" t="n"/>
      <c r="G63" s="20" t="n"/>
      <c r="H63" s="106" t="n"/>
      <c r="I63" s="42">
        <f> IF(AND(tracking[[#This Row],[Type]]="Income", shift_late_income_status="Active", DAY(tracking[[#This Row],[Date]])&gt;=shift_late_income_starting_day), DATE(YEAR(tracking[[#This Row],[Date]]), MONTH(tracking[[#This Row],[Date]])+1, 1), tracking[[#This Row],[Date]])</f>
        <v/>
      </c>
    </row>
    <row r="64">
      <c r="C64" s="38" t="n"/>
      <c r="D64" s="16" t="n"/>
      <c r="E64" s="16" t="n"/>
      <c r="F64" s="106" t="n"/>
      <c r="G64" s="20" t="n"/>
      <c r="H64" s="106" t="n"/>
      <c r="I64" s="42">
        <f> IF(AND(tracking[[#This Row],[Type]]="Income", shift_late_income_status="Active", DAY(tracking[[#This Row],[Date]])&gt;=shift_late_income_starting_day), DATE(YEAR(tracking[[#This Row],[Date]]), MONTH(tracking[[#This Row],[Date]])+1, 1), tracking[[#This Row],[Date]])</f>
        <v/>
      </c>
    </row>
    <row r="65">
      <c r="C65" s="38" t="n"/>
      <c r="D65" s="16" t="n"/>
      <c r="E65" s="16" t="n"/>
      <c r="F65" s="106" t="n"/>
      <c r="G65" s="20" t="n"/>
      <c r="H65" s="106" t="n"/>
      <c r="I65" s="42">
        <f> IF(AND(tracking[[#This Row],[Type]]="Income", shift_late_income_status="Active", DAY(tracking[[#This Row],[Date]])&gt;=shift_late_income_starting_day), DATE(YEAR(tracking[[#This Row],[Date]]), MONTH(tracking[[#This Row],[Date]])+1, 1), tracking[[#This Row],[Date]])</f>
        <v/>
      </c>
    </row>
    <row r="66">
      <c r="C66" s="38" t="n"/>
      <c r="D66" s="16" t="n"/>
      <c r="E66" s="16" t="n"/>
      <c r="F66" s="106" t="n"/>
      <c r="G66" s="20" t="n"/>
      <c r="H66" s="106" t="n"/>
      <c r="I66" s="42">
        <f> IF(AND(tracking[[#This Row],[Type]]="Income", shift_late_income_status="Active", DAY(tracking[[#This Row],[Date]])&gt;=shift_late_income_starting_day), DATE(YEAR(tracking[[#This Row],[Date]]), MONTH(tracking[[#This Row],[Date]])+1, 1), tracking[[#This Row],[Date]])</f>
        <v/>
      </c>
    </row>
    <row r="67">
      <c r="C67" s="38" t="n"/>
      <c r="D67" s="16" t="n"/>
      <c r="E67" s="16" t="n"/>
      <c r="F67" s="106" t="n"/>
      <c r="G67" s="20" t="n"/>
      <c r="H67" s="106" t="n"/>
      <c r="I67" s="42">
        <f> IF(AND(tracking[[#This Row],[Type]]="Income", shift_late_income_status="Active", DAY(tracking[[#This Row],[Date]])&gt;=shift_late_income_starting_day), DATE(YEAR(tracking[[#This Row],[Date]]), MONTH(tracking[[#This Row],[Date]])+1, 1), tracking[[#This Row],[Date]])</f>
        <v/>
      </c>
    </row>
    <row r="68">
      <c r="C68" s="38" t="n"/>
      <c r="D68" s="16" t="n"/>
      <c r="E68" s="16" t="n"/>
      <c r="F68" s="106" t="n"/>
      <c r="G68" s="20" t="n"/>
      <c r="H68" s="106" t="n"/>
      <c r="I68" s="42">
        <f> IF(AND(tracking[[#This Row],[Type]]="Income", shift_late_income_status="Active", DAY(tracking[[#This Row],[Date]])&gt;=shift_late_income_starting_day), DATE(YEAR(tracking[[#This Row],[Date]]), MONTH(tracking[[#This Row],[Date]])+1, 1), tracking[[#This Row],[Date]])</f>
        <v/>
      </c>
    </row>
    <row r="69">
      <c r="C69" s="38" t="n"/>
      <c r="D69" s="16" t="n"/>
      <c r="E69" s="16" t="n"/>
      <c r="F69" s="106" t="n"/>
      <c r="G69" s="20" t="n"/>
      <c r="H69" s="106" t="n"/>
      <c r="I69" s="42">
        <f> IF(AND(tracking[[#This Row],[Type]]="Income", shift_late_income_status="Active", DAY(tracking[[#This Row],[Date]])&gt;=shift_late_income_starting_day), DATE(YEAR(tracking[[#This Row],[Date]]), MONTH(tracking[[#This Row],[Date]])+1, 1), tracking[[#This Row],[Date]])</f>
        <v/>
      </c>
    </row>
    <row r="70">
      <c r="C70" s="38" t="n"/>
      <c r="D70" s="16" t="n"/>
      <c r="E70" s="16" t="n"/>
      <c r="F70" s="106" t="n"/>
      <c r="G70" s="20" t="n"/>
      <c r="H70" s="106" t="n"/>
      <c r="I70" s="42">
        <f> IF(AND(tracking[[#This Row],[Type]]="Income", shift_late_income_status="Active", DAY(tracking[[#This Row],[Date]])&gt;=shift_late_income_starting_day), DATE(YEAR(tracking[[#This Row],[Date]]), MONTH(tracking[[#This Row],[Date]])+1, 1), tracking[[#This Row],[Date]])</f>
        <v/>
      </c>
    </row>
    <row r="71">
      <c r="C71" s="38" t="n"/>
      <c r="D71" s="16" t="n"/>
      <c r="E71" s="16" t="n"/>
      <c r="F71" s="106" t="n"/>
      <c r="G71" s="20" t="n"/>
      <c r="H71" s="106" t="n"/>
      <c r="I71" s="42">
        <f> IF(AND(tracking[[#This Row],[Type]]="Income", shift_late_income_status="Active", DAY(tracking[[#This Row],[Date]])&gt;=shift_late_income_starting_day), DATE(YEAR(tracking[[#This Row],[Date]]), MONTH(tracking[[#This Row],[Date]])+1, 1), tracking[[#This Row],[Date]])</f>
        <v/>
      </c>
    </row>
    <row r="72">
      <c r="C72" s="38" t="n"/>
      <c r="D72" s="16" t="n"/>
      <c r="E72" s="16" t="n"/>
      <c r="F72" s="106" t="n"/>
      <c r="G72" s="20" t="n"/>
      <c r="H72" s="106" t="n"/>
      <c r="I72" s="42">
        <f> IF(AND(tracking[[#This Row],[Type]]="Income", shift_late_income_status="Active", DAY(tracking[[#This Row],[Date]])&gt;=shift_late_income_starting_day), DATE(YEAR(tracking[[#This Row],[Date]]), MONTH(tracking[[#This Row],[Date]])+1, 1), tracking[[#This Row],[Date]])</f>
        <v/>
      </c>
    </row>
    <row r="73">
      <c r="C73" s="38" t="n"/>
      <c r="D73" s="16" t="n"/>
      <c r="E73" s="16" t="n"/>
      <c r="F73" s="106" t="n"/>
      <c r="G73" s="20" t="n"/>
      <c r="H73" s="106" t="n"/>
      <c r="I73" s="42">
        <f> IF(AND(tracking[[#This Row],[Type]]="Income", shift_late_income_status="Active", DAY(tracking[[#This Row],[Date]])&gt;=shift_late_income_starting_day), DATE(YEAR(tracking[[#This Row],[Date]]), MONTH(tracking[[#This Row],[Date]])+1, 1), tracking[[#This Row],[Date]])</f>
        <v/>
      </c>
    </row>
    <row r="74">
      <c r="C74" s="38" t="n"/>
      <c r="D74" s="16" t="n"/>
      <c r="E74" s="16" t="n"/>
      <c r="F74" s="106" t="n"/>
      <c r="G74" s="20" t="n"/>
      <c r="H74" s="100" t="n"/>
      <c r="I74" s="42">
        <f> IF(AND(tracking[[#This Row],[Type]]="Income", shift_late_income_status="Active", DAY(tracking[[#This Row],[Date]])&gt;=shift_late_income_starting_day), DATE(YEAR(tracking[[#This Row],[Date]]), MONTH(tracking[[#This Row],[Date]])+1, 1), tracking[[#This Row],[Date]])</f>
        <v/>
      </c>
    </row>
    <row r="75">
      <c r="C75" s="38" t="n"/>
      <c r="D75" s="16" t="n"/>
      <c r="E75" s="16" t="n"/>
      <c r="F75" s="106" t="n"/>
      <c r="G75" s="20" t="n"/>
      <c r="H75" s="106" t="n"/>
      <c r="I75" s="42">
        <f> IF(AND(tracking[[#This Row],[Type]]="Income", shift_late_income_status="Active", DAY(tracking[[#This Row],[Date]])&gt;=shift_late_income_starting_day), DATE(YEAR(tracking[[#This Row],[Date]]), MONTH(tracking[[#This Row],[Date]])+1, 1), tracking[[#This Row],[Date]])</f>
        <v/>
      </c>
    </row>
    <row r="76">
      <c r="C76" s="38" t="n"/>
      <c r="D76" s="16" t="n"/>
      <c r="E76" s="16" t="n"/>
      <c r="F76" s="106" t="n"/>
      <c r="G76" s="20" t="n"/>
      <c r="H76" s="106" t="n"/>
      <c r="I76" s="42">
        <f> IF(AND(tracking[[#This Row],[Type]]="Income", shift_late_income_status="Active", DAY(tracking[[#This Row],[Date]])&gt;=shift_late_income_starting_day), DATE(YEAR(tracking[[#This Row],[Date]]), MONTH(tracking[[#This Row],[Date]])+1, 1), tracking[[#This Row],[Date]])</f>
        <v/>
      </c>
    </row>
    <row r="77">
      <c r="C77" s="38" t="n"/>
      <c r="D77" s="16" t="n"/>
      <c r="E77" s="16" t="n"/>
      <c r="F77" s="106" t="n"/>
      <c r="G77" s="20" t="n"/>
      <c r="H77" s="106" t="n"/>
      <c r="I77" s="42">
        <f> IF(AND(tracking[[#This Row],[Type]]="Income", shift_late_income_status="Active", DAY(tracking[[#This Row],[Date]])&gt;=shift_late_income_starting_day), DATE(YEAR(tracking[[#This Row],[Date]]), MONTH(tracking[[#This Row],[Date]])+1, 1), tracking[[#This Row],[Date]])</f>
        <v/>
      </c>
    </row>
    <row r="78">
      <c r="C78" s="38" t="n"/>
      <c r="D78" s="16" t="n"/>
      <c r="E78" s="16" t="n"/>
      <c r="F78" s="106" t="n"/>
      <c r="G78" s="20" t="n"/>
      <c r="H78" s="106" t="n"/>
      <c r="I78" s="42">
        <f> IF(AND(tracking[[#This Row],[Type]]="Income", shift_late_income_status="Active", DAY(tracking[[#This Row],[Date]])&gt;=shift_late_income_starting_day), DATE(YEAR(tracking[[#This Row],[Date]]), MONTH(tracking[[#This Row],[Date]])+1, 1), tracking[[#This Row],[Date]])</f>
        <v/>
      </c>
    </row>
    <row r="79">
      <c r="C79" s="38" t="n"/>
      <c r="D79" s="16" t="n"/>
      <c r="E79" s="16" t="n"/>
      <c r="F79" s="106" t="n"/>
      <c r="G79" s="20" t="n"/>
      <c r="H79" s="106" t="n"/>
      <c r="I79" s="42">
        <f> IF(AND(tracking[[#This Row],[Type]]="Income", shift_late_income_status="Active", DAY(tracking[[#This Row],[Date]])&gt;=shift_late_income_starting_day), DATE(YEAR(tracking[[#This Row],[Date]]), MONTH(tracking[[#This Row],[Date]])+1, 1), tracking[[#This Row],[Date]])</f>
        <v/>
      </c>
    </row>
    <row r="80">
      <c r="C80" s="38" t="n"/>
      <c r="D80" s="16" t="n"/>
      <c r="E80" s="16" t="n"/>
      <c r="F80" s="106" t="n"/>
      <c r="G80" s="20" t="n"/>
      <c r="H80" s="106" t="n"/>
      <c r="I80" s="42">
        <f> IF(AND(tracking[[#This Row],[Type]]="Income", shift_late_income_status="Active", DAY(tracking[[#This Row],[Date]])&gt;=shift_late_income_starting_day), DATE(YEAR(tracking[[#This Row],[Date]]), MONTH(tracking[[#This Row],[Date]])+1, 1), tracking[[#This Row],[Date]])</f>
        <v/>
      </c>
    </row>
    <row r="81">
      <c r="C81" s="38" t="n"/>
      <c r="D81" s="16" t="n"/>
      <c r="E81" s="16" t="n"/>
      <c r="F81" s="106" t="n"/>
      <c r="G81" s="20" t="n"/>
      <c r="H81" s="106" t="n"/>
      <c r="I81" s="42">
        <f> IF(AND(tracking[[#This Row],[Type]]="Income", shift_late_income_status="Active", DAY(tracking[[#This Row],[Date]])&gt;=shift_late_income_starting_day), DATE(YEAR(tracking[[#This Row],[Date]]), MONTH(tracking[[#This Row],[Date]])+1, 1), tracking[[#This Row],[Date]])</f>
        <v/>
      </c>
    </row>
    <row r="82">
      <c r="C82" s="38" t="n"/>
      <c r="D82" s="16" t="n"/>
      <c r="E82" s="16" t="n"/>
      <c r="F82" s="106" t="n"/>
      <c r="G82" s="20" t="n"/>
      <c r="H82" s="100" t="n"/>
      <c r="I82" s="42">
        <f> IF(AND(tracking[[#This Row],[Type]]="Income", shift_late_income_status="Active", DAY(tracking[[#This Row],[Date]])&gt;=shift_late_income_starting_day), DATE(YEAR(tracking[[#This Row],[Date]]), MONTH(tracking[[#This Row],[Date]])+1, 1), tracking[[#This Row],[Date]])</f>
        <v/>
      </c>
    </row>
    <row r="83">
      <c r="C83" s="38" t="n"/>
      <c r="D83" s="16" t="n"/>
      <c r="E83" s="16" t="n"/>
      <c r="F83" s="106" t="n"/>
      <c r="G83" s="20" t="n"/>
      <c r="H83" s="106" t="n"/>
      <c r="I83" s="42">
        <f> IF(AND(tracking[[#This Row],[Type]]="Income", shift_late_income_status="Active", DAY(tracking[[#This Row],[Date]])&gt;=shift_late_income_starting_day), DATE(YEAR(tracking[[#This Row],[Date]]), MONTH(tracking[[#This Row],[Date]])+1, 1), tracking[[#This Row],[Date]])</f>
        <v/>
      </c>
    </row>
    <row r="84">
      <c r="C84" s="38" t="n"/>
      <c r="D84" s="16" t="n"/>
      <c r="E84" s="16" t="n"/>
      <c r="F84" s="106" t="n"/>
      <c r="G84" s="20" t="n"/>
      <c r="H84" s="106" t="n"/>
      <c r="I84" s="42">
        <f> IF(AND(tracking[[#This Row],[Type]]="Income", shift_late_income_status="Active", DAY(tracking[[#This Row],[Date]])&gt;=shift_late_income_starting_day), DATE(YEAR(tracking[[#This Row],[Date]]), MONTH(tracking[[#This Row],[Date]])+1, 1), tracking[[#This Row],[Date]])</f>
        <v/>
      </c>
    </row>
    <row r="85">
      <c r="C85" s="38" t="n"/>
      <c r="D85" s="16" t="n"/>
      <c r="E85" s="16" t="n"/>
      <c r="F85" s="106" t="n"/>
      <c r="G85" s="20" t="n"/>
      <c r="H85" s="106" t="n"/>
      <c r="I85" s="42">
        <f> IF(AND(tracking[[#This Row],[Type]]="Income", shift_late_income_status="Active", DAY(tracking[[#This Row],[Date]])&gt;=shift_late_income_starting_day), DATE(YEAR(tracking[[#This Row],[Date]]), MONTH(tracking[[#This Row],[Date]])+1, 1), tracking[[#This Row],[Date]])</f>
        <v/>
      </c>
    </row>
    <row r="86">
      <c r="C86" s="38" t="n"/>
      <c r="D86" s="16" t="n"/>
      <c r="E86" s="16" t="n"/>
      <c r="F86" s="106" t="n"/>
      <c r="G86" s="20" t="n"/>
      <c r="H86" s="106" t="n"/>
      <c r="I86" s="42">
        <f> IF(AND(tracking[[#This Row],[Type]]="Income", shift_late_income_status="Active", DAY(tracking[[#This Row],[Date]])&gt;=shift_late_income_starting_day), DATE(YEAR(tracking[[#This Row],[Date]]), MONTH(tracking[[#This Row],[Date]])+1, 1), tracking[[#This Row],[Date]])</f>
        <v/>
      </c>
    </row>
    <row r="87">
      <c r="C87" s="38" t="n"/>
      <c r="D87" s="16" t="n"/>
      <c r="E87" s="16" t="n"/>
      <c r="F87" s="106" t="n"/>
      <c r="G87" s="20" t="n"/>
      <c r="H87" s="100" t="n"/>
      <c r="I87" s="42">
        <f> IF(AND(tracking[[#This Row],[Type]]="Income", shift_late_income_status="Active", DAY(tracking[[#This Row],[Date]])&gt;=shift_late_income_starting_day), DATE(YEAR(tracking[[#This Row],[Date]]), MONTH(tracking[[#This Row],[Date]])+1, 1), tracking[[#This Row],[Date]])</f>
        <v/>
      </c>
    </row>
    <row r="88">
      <c r="C88" s="38" t="n"/>
      <c r="D88" s="16" t="n"/>
      <c r="E88" s="16" t="n"/>
      <c r="F88" s="106" t="n"/>
      <c r="G88" s="20" t="n"/>
      <c r="H88" s="100" t="n"/>
      <c r="I88" s="42">
        <f> IF(AND(tracking[[#This Row],[Type]]="Income", shift_late_income_status="Active", DAY(tracking[[#This Row],[Date]])&gt;=shift_late_income_starting_day), DATE(YEAR(tracking[[#This Row],[Date]]), MONTH(tracking[[#This Row],[Date]])+1, 1), tracking[[#This Row],[Date]])</f>
        <v/>
      </c>
    </row>
    <row r="89">
      <c r="C89" s="38" t="n"/>
      <c r="D89" s="16" t="n"/>
      <c r="E89" s="16" t="n"/>
      <c r="F89" s="106" t="n"/>
      <c r="G89" s="20" t="n"/>
      <c r="H89" s="100" t="n"/>
      <c r="I89" s="42">
        <f> IF(AND(tracking[[#This Row],[Type]]="Income", shift_late_income_status="Active", DAY(tracking[[#This Row],[Date]])&gt;=shift_late_income_starting_day), DATE(YEAR(tracking[[#This Row],[Date]]), MONTH(tracking[[#This Row],[Date]])+1, 1), tracking[[#This Row],[Date]])</f>
        <v/>
      </c>
    </row>
    <row r="90">
      <c r="C90" s="38" t="n"/>
      <c r="D90" s="16" t="n"/>
      <c r="E90" s="16" t="n"/>
      <c r="F90" s="106" t="n"/>
      <c r="G90" s="20" t="n"/>
      <c r="H90" s="106" t="n"/>
      <c r="I90" s="42">
        <f> IF(AND(tracking[[#This Row],[Type]]="Income", shift_late_income_status="Active", DAY(tracking[[#This Row],[Date]])&gt;=shift_late_income_starting_day), DATE(YEAR(tracking[[#This Row],[Date]]), MONTH(tracking[[#This Row],[Date]])+1, 1), tracking[[#This Row],[Date]])</f>
        <v/>
      </c>
    </row>
    <row r="91">
      <c r="C91" s="38" t="n"/>
      <c r="D91" s="16" t="n"/>
      <c r="E91" s="16" t="n"/>
      <c r="F91" s="106" t="n"/>
      <c r="G91" s="20" t="n"/>
      <c r="H91" s="106" t="n"/>
      <c r="I91" s="42">
        <f> IF(AND(tracking[[#This Row],[Type]]="Income", shift_late_income_status="Active", DAY(tracking[[#This Row],[Date]])&gt;=shift_late_income_starting_day), DATE(YEAR(tracking[[#This Row],[Date]]), MONTH(tracking[[#This Row],[Date]])+1, 1), tracking[[#This Row],[Date]])</f>
        <v/>
      </c>
    </row>
    <row r="92">
      <c r="C92" s="38" t="n"/>
      <c r="D92" s="16" t="n"/>
      <c r="E92" s="16" t="n"/>
      <c r="F92" s="106" t="n"/>
      <c r="G92" s="20" t="n"/>
      <c r="H92" s="100" t="n"/>
      <c r="I92" s="42">
        <f> IF(AND(tracking[[#This Row],[Type]]="Income", shift_late_income_status="Active", DAY(tracking[[#This Row],[Date]])&gt;=shift_late_income_starting_day), DATE(YEAR(tracking[[#This Row],[Date]]), MONTH(tracking[[#This Row],[Date]])+1, 1), tracking[[#This Row],[Date]])</f>
        <v/>
      </c>
    </row>
    <row r="93">
      <c r="C93" s="38" t="n"/>
      <c r="D93" s="16" t="n"/>
      <c r="E93" s="16" t="n"/>
      <c r="F93" s="106" t="n"/>
      <c r="G93" s="20" t="n"/>
      <c r="H93" s="106" t="n"/>
      <c r="I93" s="42">
        <f> IF(AND(tracking[[#This Row],[Type]]="Income", shift_late_income_status="Active", DAY(tracking[[#This Row],[Date]])&gt;=shift_late_income_starting_day), DATE(YEAR(tracking[[#This Row],[Date]]), MONTH(tracking[[#This Row],[Date]])+1, 1), tracking[[#This Row],[Date]])</f>
        <v/>
      </c>
    </row>
    <row r="94">
      <c r="C94" s="38" t="n"/>
      <c r="D94" s="16" t="n"/>
      <c r="E94" s="16" t="n"/>
      <c r="F94" s="106" t="n"/>
      <c r="G94" s="20" t="n"/>
      <c r="H94" s="106" t="n"/>
      <c r="I94" s="42">
        <f> IF(AND(tracking[[#This Row],[Type]]="Income", shift_late_income_status="Active", DAY(tracking[[#This Row],[Date]])&gt;=shift_late_income_starting_day), DATE(YEAR(tracking[[#This Row],[Date]]), MONTH(tracking[[#This Row],[Date]])+1, 1), tracking[[#This Row],[Date]])</f>
        <v/>
      </c>
    </row>
    <row r="95">
      <c r="C95" s="38" t="n"/>
      <c r="D95" s="16" t="n"/>
      <c r="E95" s="16" t="n"/>
      <c r="F95" s="106" t="n"/>
      <c r="G95" s="20" t="n"/>
      <c r="H95" s="106" t="n"/>
      <c r="I95" s="42">
        <f> IF(AND(tracking[[#This Row],[Type]]="Income", shift_late_income_status="Active", DAY(tracking[[#This Row],[Date]])&gt;=shift_late_income_starting_day), DATE(YEAR(tracking[[#This Row],[Date]]), MONTH(tracking[[#This Row],[Date]])+1, 1), tracking[[#This Row],[Date]])</f>
        <v/>
      </c>
    </row>
    <row r="96">
      <c r="C96" s="38" t="n"/>
      <c r="D96" s="16" t="n"/>
      <c r="E96" s="16" t="n"/>
      <c r="F96" s="106" t="n"/>
      <c r="G96" s="20" t="n"/>
      <c r="H96" s="106" t="n"/>
      <c r="I96" s="42">
        <f> IF(AND(tracking[[#This Row],[Type]]="Income", shift_late_income_status="Active", DAY(tracking[[#This Row],[Date]])&gt;=shift_late_income_starting_day), DATE(YEAR(tracking[[#This Row],[Date]]), MONTH(tracking[[#This Row],[Date]])+1, 1), tracking[[#This Row],[Date]])</f>
        <v/>
      </c>
    </row>
    <row r="97">
      <c r="C97" s="38" t="n"/>
      <c r="D97" s="16" t="n"/>
      <c r="E97" s="16" t="n"/>
      <c r="F97" s="106" t="n"/>
      <c r="G97" s="20" t="n"/>
      <c r="H97" s="106" t="n"/>
      <c r="I97" s="42">
        <f> IF(AND(tracking[[#This Row],[Type]]="Income", shift_late_income_status="Active", DAY(tracking[[#This Row],[Date]])&gt;=shift_late_income_starting_day), DATE(YEAR(tracking[[#This Row],[Date]]), MONTH(tracking[[#This Row],[Date]])+1, 1), tracking[[#This Row],[Date]])</f>
        <v/>
      </c>
    </row>
    <row r="98">
      <c r="C98" s="38" t="n"/>
      <c r="D98" s="16" t="n"/>
      <c r="E98" s="16" t="n"/>
      <c r="F98" s="106" t="n"/>
      <c r="G98" s="20" t="n"/>
      <c r="H98" s="106" t="n"/>
      <c r="I98" s="42">
        <f> IF(AND(tracking[[#This Row],[Type]]="Income", shift_late_income_status="Active", DAY(tracking[[#This Row],[Date]])&gt;=shift_late_income_starting_day), DATE(YEAR(tracking[[#This Row],[Date]]), MONTH(tracking[[#This Row],[Date]])+1, 1), tracking[[#This Row],[Date]])</f>
        <v/>
      </c>
    </row>
    <row r="99">
      <c r="C99" s="38" t="n"/>
      <c r="D99" s="16" t="n"/>
      <c r="E99" s="16" t="n"/>
      <c r="F99" s="106" t="n"/>
      <c r="G99" s="20" t="n"/>
      <c r="H99" s="106" t="n"/>
      <c r="I99" s="42">
        <f> IF(AND(tracking[[#This Row],[Type]]="Income", shift_late_income_status="Active", DAY(tracking[[#This Row],[Date]])&gt;=shift_late_income_starting_day), DATE(YEAR(tracking[[#This Row],[Date]]), MONTH(tracking[[#This Row],[Date]])+1, 1), tracking[[#This Row],[Date]])</f>
        <v/>
      </c>
    </row>
    <row r="100">
      <c r="C100" s="38" t="n"/>
      <c r="D100" s="16" t="n"/>
      <c r="E100" s="16" t="n"/>
      <c r="F100" s="106" t="n"/>
      <c r="G100" s="20" t="n"/>
      <c r="H100" s="106" t="n"/>
      <c r="I100" s="42">
        <f> IF(AND(tracking[[#This Row],[Type]]="Income", shift_late_income_status="Active", DAY(tracking[[#This Row],[Date]])&gt;=shift_late_income_starting_day), DATE(YEAR(tracking[[#This Row],[Date]]), MONTH(tracking[[#This Row],[Date]])+1, 1), tracking[[#This Row],[Date]])</f>
        <v/>
      </c>
    </row>
    <row r="101">
      <c r="C101" s="38" t="n"/>
      <c r="D101" s="16" t="n"/>
      <c r="E101" s="16" t="n"/>
      <c r="F101" s="106" t="n"/>
      <c r="G101" s="20" t="n"/>
      <c r="H101" s="106" t="n"/>
      <c r="I101" s="42">
        <f> IF(AND(tracking[[#This Row],[Type]]="Income", shift_late_income_status="Active", DAY(tracking[[#This Row],[Date]])&gt;=shift_late_income_starting_day), DATE(YEAR(tracking[[#This Row],[Date]]), MONTH(tracking[[#This Row],[Date]])+1, 1), tracking[[#This Row],[Date]])</f>
        <v/>
      </c>
    </row>
    <row r="102">
      <c r="C102" s="38" t="n"/>
      <c r="D102" s="16" t="n"/>
      <c r="E102" s="16" t="n"/>
      <c r="F102" s="106" t="n"/>
      <c r="G102" s="20" t="n"/>
      <c r="H102" s="106" t="n"/>
      <c r="I102" s="42">
        <f> IF(AND(tracking[[#This Row],[Type]]="Income", shift_late_income_status="Active", DAY(tracking[[#This Row],[Date]])&gt;=shift_late_income_starting_day), DATE(YEAR(tracking[[#This Row],[Date]]), MONTH(tracking[[#This Row],[Date]])+1, 1), tracking[[#This Row],[Date]])</f>
        <v/>
      </c>
    </row>
    <row r="103">
      <c r="C103" s="38" t="n"/>
      <c r="D103" s="16" t="n"/>
      <c r="E103" s="16" t="n"/>
      <c r="F103" s="106" t="n"/>
      <c r="G103" s="20" t="n"/>
      <c r="H103" s="106" t="n"/>
      <c r="I103" s="42">
        <f> IF(AND(tracking[[#This Row],[Type]]="Income", shift_late_income_status="Active", DAY(tracking[[#This Row],[Date]])&gt;=shift_late_income_starting_day), DATE(YEAR(tracking[[#This Row],[Date]]), MONTH(tracking[[#This Row],[Date]])+1, 1), tracking[[#This Row],[Date]])</f>
        <v/>
      </c>
    </row>
    <row r="104">
      <c r="C104" s="38" t="n"/>
      <c r="D104" s="16" t="n"/>
      <c r="E104" s="16" t="n"/>
      <c r="F104" s="106" t="n"/>
      <c r="G104" s="20" t="n"/>
      <c r="H104" s="106" t="n"/>
      <c r="I104" s="42">
        <f> IF(AND(tracking[[#This Row],[Type]]="Income", shift_late_income_status="Active", DAY(tracking[[#This Row],[Date]])&gt;=shift_late_income_starting_day), DATE(YEAR(tracking[[#This Row],[Date]]), MONTH(tracking[[#This Row],[Date]])+1, 1), tracking[[#This Row],[Date]])</f>
        <v/>
      </c>
    </row>
    <row r="105">
      <c r="C105" s="38" t="n"/>
      <c r="D105" s="16" t="n"/>
      <c r="E105" s="16" t="n"/>
      <c r="F105" s="106" t="n"/>
      <c r="G105" s="20" t="n"/>
      <c r="H105" s="106" t="n"/>
      <c r="I105" s="42">
        <f> IF(AND(tracking[[#This Row],[Type]]="Income", shift_late_income_status="Active", DAY(tracking[[#This Row],[Date]])&gt;=shift_late_income_starting_day), DATE(YEAR(tracking[[#This Row],[Date]]), MONTH(tracking[[#This Row],[Date]])+1, 1), tracking[[#This Row],[Date]])</f>
        <v/>
      </c>
    </row>
    <row r="106">
      <c r="C106" s="38" t="n"/>
      <c r="D106" s="16" t="n"/>
      <c r="E106" s="16" t="n"/>
      <c r="F106" s="106" t="n"/>
      <c r="G106" s="20" t="n"/>
      <c r="H106" s="106" t="n"/>
      <c r="I106" s="42">
        <f> IF(AND(tracking[[#This Row],[Type]]="Income", shift_late_income_status="Active", DAY(tracking[[#This Row],[Date]])&gt;=shift_late_income_starting_day), DATE(YEAR(tracking[[#This Row],[Date]]), MONTH(tracking[[#This Row],[Date]])+1, 1), tracking[[#This Row],[Date]])</f>
        <v/>
      </c>
    </row>
    <row r="107">
      <c r="C107" s="38" t="n"/>
      <c r="D107" s="16" t="n"/>
      <c r="E107" s="16" t="n"/>
      <c r="F107" s="106" t="n"/>
      <c r="G107" s="20" t="n"/>
      <c r="H107" s="106" t="n"/>
      <c r="I107" s="42">
        <f> IF(AND(tracking[[#This Row],[Type]]="Income", shift_late_income_status="Active", DAY(tracking[[#This Row],[Date]])&gt;=shift_late_income_starting_day), DATE(YEAR(tracking[[#This Row],[Date]]), MONTH(tracking[[#This Row],[Date]])+1, 1), tracking[[#This Row],[Date]])</f>
        <v/>
      </c>
    </row>
    <row r="108">
      <c r="C108" s="38" t="n"/>
      <c r="D108" s="16" t="n"/>
      <c r="E108" s="16" t="n"/>
      <c r="F108" s="106" t="n"/>
      <c r="G108" s="20" t="n"/>
      <c r="H108" s="106" t="n"/>
      <c r="I108" s="42">
        <f> IF(AND(tracking[[#This Row],[Type]]="Income", shift_late_income_status="Active", DAY(tracking[[#This Row],[Date]])&gt;=shift_late_income_starting_day), DATE(YEAR(tracking[[#This Row],[Date]]), MONTH(tracking[[#This Row],[Date]])+1, 1), tracking[[#This Row],[Date]])</f>
        <v/>
      </c>
    </row>
    <row r="109">
      <c r="C109" s="38" t="n"/>
      <c r="D109" s="16" t="n"/>
      <c r="E109" s="16" t="n"/>
      <c r="F109" s="106" t="n"/>
      <c r="G109" s="20" t="n"/>
      <c r="H109" s="106" t="n"/>
      <c r="I109" s="42">
        <f> IF(AND(tracking[[#This Row],[Type]]="Income", shift_late_income_status="Active", DAY(tracking[[#This Row],[Date]])&gt;=shift_late_income_starting_day), DATE(YEAR(tracking[[#This Row],[Date]]), MONTH(tracking[[#This Row],[Date]])+1, 1), tracking[[#This Row],[Date]])</f>
        <v/>
      </c>
    </row>
    <row r="110">
      <c r="C110" s="102" t="n"/>
      <c r="D110" s="103" t="n"/>
      <c r="E110" s="103" t="n"/>
      <c r="F110" s="104" t="n"/>
      <c r="G110" s="20" t="n"/>
      <c r="H110" s="106" t="n"/>
      <c r="I110" s="42">
        <f> IF(AND(tracking[[#This Row],[Type]]="Income", shift_late_income_status="Active", DAY(tracking[[#This Row],[Date]])&gt;=shift_late_income_starting_day), DATE(YEAR(tracking[[#This Row],[Date]]), MONTH(tracking[[#This Row],[Date]])+1, 1), tracking[[#This Row],[Date]])</f>
        <v/>
      </c>
    </row>
    <row r="111">
      <c r="C111" s="105" t="n"/>
      <c r="D111" s="16" t="n"/>
      <c r="E111" s="16" t="n"/>
      <c r="F111" s="106" t="n"/>
      <c r="G111" s="20" t="n"/>
      <c r="H111" s="106" t="n"/>
      <c r="I111" s="42">
        <f> IF(AND(tracking[[#This Row],[Type]]="Income", shift_late_income_status="Active", DAY(tracking[[#This Row],[Date]])&gt;=shift_late_income_starting_day), DATE(YEAR(tracking[[#This Row],[Date]]), MONTH(tracking[[#This Row],[Date]])+1, 1), tracking[[#This Row],[Date]])</f>
        <v/>
      </c>
    </row>
    <row r="112">
      <c r="C112" s="102" t="n"/>
      <c r="D112" s="103" t="n"/>
      <c r="E112" s="103" t="n"/>
      <c r="F112" s="104" t="n"/>
      <c r="G112" s="20" t="n"/>
      <c r="H112" s="106" t="n"/>
      <c r="I112" s="42">
        <f> IF(AND(tracking[[#This Row],[Type]]="Income", shift_late_income_status="Active", DAY(tracking[[#This Row],[Date]])&gt;=shift_late_income_starting_day), DATE(YEAR(tracking[[#This Row],[Date]]), MONTH(tracking[[#This Row],[Date]])+1, 1), tracking[[#This Row],[Date]])</f>
        <v/>
      </c>
    </row>
    <row r="113">
      <c r="C113" s="105" t="n"/>
      <c r="D113" s="16" t="n"/>
      <c r="E113" s="16" t="n"/>
      <c r="F113" s="106" t="n"/>
      <c r="G113" s="20" t="n"/>
      <c r="H113" s="106" t="n"/>
      <c r="I113" s="42">
        <f> IF(AND(tracking[[#This Row],[Type]]="Income", shift_late_income_status="Active", DAY(tracking[[#This Row],[Date]])&gt;=shift_late_income_starting_day), DATE(YEAR(tracking[[#This Row],[Date]]), MONTH(tracking[[#This Row],[Date]])+1, 1), tracking[[#This Row],[Date]])</f>
        <v/>
      </c>
    </row>
    <row r="114">
      <c r="C114" s="102" t="n"/>
      <c r="D114" s="103" t="n"/>
      <c r="E114" s="103" t="n"/>
      <c r="F114" s="104" t="n"/>
      <c r="G114" s="20" t="n"/>
      <c r="H114" s="106" t="n"/>
      <c r="I114" s="42">
        <f> IF(AND(tracking[[#This Row],[Type]]="Income", shift_late_income_status="Active", DAY(tracking[[#This Row],[Date]])&gt;=shift_late_income_starting_day), DATE(YEAR(tracking[[#This Row],[Date]]), MONTH(tracking[[#This Row],[Date]])+1, 1), tracking[[#This Row],[Date]])</f>
        <v/>
      </c>
    </row>
    <row r="115">
      <c r="C115" s="38" t="n"/>
      <c r="D115" s="16" t="n"/>
      <c r="E115" s="16" t="n"/>
      <c r="F115" s="106" t="n"/>
      <c r="G115" s="20" t="n"/>
      <c r="H115" s="106" t="n"/>
      <c r="I115" s="42">
        <f> IF(AND(tracking[[#This Row],[Type]]="Income", shift_late_income_status="Active", DAY(tracking[[#This Row],[Date]])&gt;=shift_late_income_starting_day), DATE(YEAR(tracking[[#This Row],[Date]]), MONTH(tracking[[#This Row],[Date]])+1, 1), tracking[[#This Row],[Date]])</f>
        <v/>
      </c>
    </row>
    <row r="116">
      <c r="C116" s="38" t="n"/>
      <c r="D116" s="16" t="n"/>
      <c r="E116" s="16" t="n"/>
      <c r="F116" s="106" t="n"/>
      <c r="G116" s="20" t="n"/>
      <c r="H116" s="106" t="n"/>
      <c r="I116" s="42">
        <f> IF(AND(tracking[[#This Row],[Type]]="Income", shift_late_income_status="Active", DAY(tracking[[#This Row],[Date]])&gt;=shift_late_income_starting_day), DATE(YEAR(tracking[[#This Row],[Date]]), MONTH(tracking[[#This Row],[Date]])+1, 1), tracking[[#This Row],[Date]])</f>
        <v/>
      </c>
    </row>
    <row r="117">
      <c r="C117" s="38" t="n"/>
      <c r="D117" s="16" t="n"/>
      <c r="E117" s="16" t="n"/>
      <c r="F117" s="106" t="n"/>
      <c r="G117" s="20" t="n"/>
      <c r="H117" s="106" t="n"/>
      <c r="I117" s="42">
        <f> IF(AND(tracking[[#This Row],[Type]]="Income", shift_late_income_status="Active", DAY(tracking[[#This Row],[Date]])&gt;=shift_late_income_starting_day), DATE(YEAR(tracking[[#This Row],[Date]]), MONTH(tracking[[#This Row],[Date]])+1, 1), tracking[[#This Row],[Date]])</f>
        <v/>
      </c>
    </row>
    <row r="118">
      <c r="C118" s="38" t="n"/>
      <c r="D118" s="16" t="n"/>
      <c r="E118" s="16" t="n"/>
      <c r="F118" s="106" t="n"/>
      <c r="G118" s="20" t="n"/>
      <c r="H118" s="106" t="n"/>
      <c r="I118" s="42">
        <f> IF(AND(tracking[[#This Row],[Type]]="Income", shift_late_income_status="Active", DAY(tracking[[#This Row],[Date]])&gt;=shift_late_income_starting_day), DATE(YEAR(tracking[[#This Row],[Date]]), MONTH(tracking[[#This Row],[Date]])+1, 1), tracking[[#This Row],[Date]])</f>
        <v/>
      </c>
    </row>
    <row r="119">
      <c r="C119" s="38" t="n"/>
      <c r="D119" s="16" t="n"/>
      <c r="E119" s="16" t="n"/>
      <c r="F119" s="106" t="n"/>
      <c r="G119" s="20" t="n"/>
      <c r="H119" s="106" t="n"/>
      <c r="I119" s="42">
        <f> IF(AND(tracking[[#This Row],[Type]]="Income", shift_late_income_status="Active", DAY(tracking[[#This Row],[Date]])&gt;=shift_late_income_starting_day), DATE(YEAR(tracking[[#This Row],[Date]]), MONTH(tracking[[#This Row],[Date]])+1, 1), tracking[[#This Row],[Date]])</f>
        <v/>
      </c>
    </row>
    <row r="120">
      <c r="C120" s="38" t="n"/>
      <c r="D120" s="16" t="n"/>
      <c r="E120" s="16" t="n"/>
      <c r="F120" s="106" t="n"/>
      <c r="G120" s="20" t="n"/>
      <c r="H120" s="100" t="n"/>
      <c r="I120" s="42">
        <f> IF(AND(tracking[[#This Row],[Type]]="Income", shift_late_income_status="Active", DAY(tracking[[#This Row],[Date]])&gt;=shift_late_income_starting_day), DATE(YEAR(tracking[[#This Row],[Date]]), MONTH(tracking[[#This Row],[Date]])+1, 1), tracking[[#This Row],[Date]])</f>
        <v/>
      </c>
    </row>
    <row r="121">
      <c r="C121" s="38" t="n"/>
      <c r="D121" s="16" t="n"/>
      <c r="E121" s="16" t="n"/>
      <c r="F121" s="106" t="n"/>
      <c r="G121" s="20" t="n"/>
      <c r="H121" s="106" t="n"/>
      <c r="I121" s="42">
        <f> IF(AND(tracking[[#This Row],[Type]]="Income", shift_late_income_status="Active", DAY(tracking[[#This Row],[Date]])&gt;=shift_late_income_starting_day), DATE(YEAR(tracking[[#This Row],[Date]]), MONTH(tracking[[#This Row],[Date]])+1, 1), tracking[[#This Row],[Date]])</f>
        <v/>
      </c>
    </row>
    <row r="122">
      <c r="C122" s="38" t="n"/>
      <c r="D122" s="16" t="n"/>
      <c r="E122" s="16" t="n"/>
      <c r="F122" s="106" t="n"/>
      <c r="G122" s="20" t="n"/>
      <c r="H122" s="106" t="n"/>
      <c r="I122" s="42">
        <f> IF(AND(tracking[[#This Row],[Type]]="Income", shift_late_income_status="Active", DAY(tracking[[#This Row],[Date]])&gt;=shift_late_income_starting_day), DATE(YEAR(tracking[[#This Row],[Date]]), MONTH(tracking[[#This Row],[Date]])+1, 1), tracking[[#This Row],[Date]])</f>
        <v/>
      </c>
    </row>
    <row r="123">
      <c r="C123" s="38" t="n"/>
      <c r="D123" s="16" t="n"/>
      <c r="E123" s="16" t="n"/>
      <c r="F123" s="106" t="n"/>
      <c r="G123" s="20" t="n"/>
      <c r="H123" s="106" t="n"/>
      <c r="I123" s="42">
        <f> IF(AND(tracking[[#This Row],[Type]]="Income", shift_late_income_status="Active", DAY(tracking[[#This Row],[Date]])&gt;=shift_late_income_starting_day), DATE(YEAR(tracking[[#This Row],[Date]]), MONTH(tracking[[#This Row],[Date]])+1, 1), tracking[[#This Row],[Date]])</f>
        <v/>
      </c>
    </row>
    <row r="124">
      <c r="C124" s="38" t="n"/>
      <c r="D124" s="16" t="n"/>
      <c r="E124" s="16" t="n"/>
      <c r="F124" s="106" t="n"/>
      <c r="G124" s="20" t="n"/>
      <c r="H124" s="106" t="n"/>
      <c r="I124" s="42">
        <f> IF(AND(tracking[[#This Row],[Type]]="Income", shift_late_income_status="Active", DAY(tracking[[#This Row],[Date]])&gt;=shift_late_income_starting_day), DATE(YEAR(tracking[[#This Row],[Date]]), MONTH(tracking[[#This Row],[Date]])+1, 1), tracking[[#This Row],[Date]])</f>
        <v/>
      </c>
    </row>
    <row r="125">
      <c r="C125" s="38" t="n"/>
      <c r="D125" s="16" t="n"/>
      <c r="E125" s="16" t="n"/>
      <c r="F125" s="106" t="n"/>
      <c r="G125" s="20" t="n"/>
      <c r="H125" s="106" t="n"/>
      <c r="I125" s="42">
        <f> IF(AND(tracking[[#This Row],[Type]]="Income", shift_late_income_status="Active", DAY(tracking[[#This Row],[Date]])&gt;=shift_late_income_starting_day), DATE(YEAR(tracking[[#This Row],[Date]]), MONTH(tracking[[#This Row],[Date]])+1, 1), tracking[[#This Row],[Date]])</f>
        <v/>
      </c>
    </row>
    <row r="126">
      <c r="C126" s="38" t="n"/>
      <c r="D126" s="16" t="n"/>
      <c r="E126" s="16" t="n"/>
      <c r="F126" s="106" t="n"/>
      <c r="G126" s="20" t="n"/>
      <c r="H126" s="106" t="n"/>
      <c r="I126" s="42">
        <f> IF(AND(tracking[[#This Row],[Type]]="Income", shift_late_income_status="Active", DAY(tracking[[#This Row],[Date]])&gt;=shift_late_income_starting_day), DATE(YEAR(tracking[[#This Row],[Date]]), MONTH(tracking[[#This Row],[Date]])+1, 1), tracking[[#This Row],[Date]])</f>
        <v/>
      </c>
    </row>
    <row r="127">
      <c r="C127" s="38" t="n"/>
      <c r="D127" s="16" t="n"/>
      <c r="E127" s="16" t="n"/>
      <c r="F127" s="106" t="n"/>
      <c r="G127" s="20" t="n"/>
      <c r="H127" s="106" t="n"/>
      <c r="I127" s="42">
        <f> IF(AND(tracking[[#This Row],[Type]]="Income", shift_late_income_status="Active", DAY(tracking[[#This Row],[Date]])&gt;=shift_late_income_starting_day), DATE(YEAR(tracking[[#This Row],[Date]]), MONTH(tracking[[#This Row],[Date]])+1, 1), tracking[[#This Row],[Date]])</f>
        <v/>
      </c>
    </row>
    <row r="128">
      <c r="C128" s="38" t="n"/>
      <c r="D128" s="16" t="n"/>
      <c r="E128" s="16" t="n"/>
      <c r="F128" s="106" t="n"/>
      <c r="G128" s="20" t="n"/>
      <c r="H128" s="106" t="n"/>
      <c r="I128" s="42">
        <f> IF(AND(tracking[[#This Row],[Type]]="Income", shift_late_income_status="Active", DAY(tracking[[#This Row],[Date]])&gt;=shift_late_income_starting_day), DATE(YEAR(tracking[[#This Row],[Date]]), MONTH(tracking[[#This Row],[Date]])+1, 1), tracking[[#This Row],[Date]])</f>
        <v/>
      </c>
    </row>
    <row r="129">
      <c r="C129" s="38" t="n"/>
      <c r="D129" s="16" t="n"/>
      <c r="E129" s="16" t="n"/>
      <c r="F129" s="106" t="n"/>
      <c r="G129" s="20" t="n"/>
      <c r="H129" s="106" t="n"/>
      <c r="I129" s="42">
        <f> IF(AND(tracking[[#This Row],[Type]]="Income", shift_late_income_status="Active", DAY(tracking[[#This Row],[Date]])&gt;=shift_late_income_starting_day), DATE(YEAR(tracking[[#This Row],[Date]]), MONTH(tracking[[#This Row],[Date]])+1, 1), tracking[[#This Row],[Date]])</f>
        <v/>
      </c>
    </row>
    <row r="130">
      <c r="C130" s="38" t="n"/>
      <c r="D130" s="16" t="n"/>
      <c r="E130" s="16" t="n"/>
      <c r="F130" s="106" t="n"/>
      <c r="G130" s="20" t="n"/>
      <c r="H130" s="106" t="n"/>
      <c r="I130" s="42">
        <f> IF(AND(tracking[[#This Row],[Type]]="Income", shift_late_income_status="Active", DAY(tracking[[#This Row],[Date]])&gt;=shift_late_income_starting_day), DATE(YEAR(tracking[[#This Row],[Date]]), MONTH(tracking[[#This Row],[Date]])+1, 1), tracking[[#This Row],[Date]])</f>
        <v/>
      </c>
    </row>
    <row r="131">
      <c r="C131" s="38" t="n"/>
      <c r="D131" s="16" t="n"/>
      <c r="E131" s="16" t="n"/>
      <c r="F131" s="106" t="n"/>
      <c r="G131" s="20" t="n"/>
      <c r="H131" s="106" t="n"/>
      <c r="I131" s="42">
        <f> IF(AND(tracking[[#This Row],[Type]]="Income", shift_late_income_status="Active", DAY(tracking[[#This Row],[Date]])&gt;=shift_late_income_starting_day), DATE(YEAR(tracking[[#This Row],[Date]]), MONTH(tracking[[#This Row],[Date]])+1, 1), tracking[[#This Row],[Date]])</f>
        <v/>
      </c>
    </row>
    <row r="132">
      <c r="C132" s="38" t="n"/>
      <c r="D132" s="16" t="n"/>
      <c r="E132" s="16" t="n"/>
      <c r="F132" s="106" t="n"/>
      <c r="G132" s="20" t="n"/>
      <c r="H132" s="106" t="n"/>
      <c r="I132" s="42">
        <f> IF(AND(tracking[[#This Row],[Type]]="Income", shift_late_income_status="Active", DAY(tracking[[#This Row],[Date]])&gt;=shift_late_income_starting_day), DATE(YEAR(tracking[[#This Row],[Date]]), MONTH(tracking[[#This Row],[Date]])+1, 1), tracking[[#This Row],[Date]])</f>
        <v/>
      </c>
    </row>
    <row r="133">
      <c r="C133" s="38" t="n"/>
      <c r="D133" s="16" t="n"/>
      <c r="E133" s="16" t="n"/>
      <c r="F133" s="106" t="n"/>
      <c r="G133" s="20" t="n"/>
      <c r="H133" s="106" t="n"/>
      <c r="I133" s="42">
        <f> IF(AND(tracking[[#This Row],[Type]]="Income", shift_late_income_status="Active", DAY(tracking[[#This Row],[Date]])&gt;=shift_late_income_starting_day), DATE(YEAR(tracking[[#This Row],[Date]]), MONTH(tracking[[#This Row],[Date]])+1, 1), tracking[[#This Row],[Date]])</f>
        <v/>
      </c>
    </row>
    <row r="134">
      <c r="C134" s="38" t="n"/>
      <c r="D134" s="16" t="n"/>
      <c r="E134" s="16" t="n"/>
      <c r="F134" s="106" t="n"/>
      <c r="G134" s="20" t="n"/>
      <c r="H134" s="106" t="n"/>
      <c r="I134" s="42">
        <f> IF(AND(tracking[[#This Row],[Type]]="Income", shift_late_income_status="Active", DAY(tracking[[#This Row],[Date]])&gt;=shift_late_income_starting_day), DATE(YEAR(tracking[[#This Row],[Date]]), MONTH(tracking[[#This Row],[Date]])+1, 1), tracking[[#This Row],[Date]])</f>
        <v/>
      </c>
    </row>
    <row r="135">
      <c r="C135" s="38" t="n"/>
      <c r="D135" s="16" t="n"/>
      <c r="E135" s="16" t="n"/>
      <c r="F135" s="106" t="n"/>
      <c r="G135" s="20" t="n"/>
      <c r="H135" s="106" t="n"/>
      <c r="I135" s="42">
        <f> IF(AND(tracking[[#This Row],[Type]]="Income", shift_late_income_status="Active", DAY(tracking[[#This Row],[Date]])&gt;=shift_late_income_starting_day), DATE(YEAR(tracking[[#This Row],[Date]]), MONTH(tracking[[#This Row],[Date]])+1, 1), tracking[[#This Row],[Date]])</f>
        <v/>
      </c>
    </row>
    <row r="136">
      <c r="C136" s="38" t="n"/>
      <c r="D136" s="16" t="n"/>
      <c r="E136" s="16" t="n"/>
      <c r="F136" s="106" t="n"/>
      <c r="G136" s="20" t="n"/>
      <c r="H136" s="106" t="n"/>
      <c r="I136" s="42">
        <f> IF(AND(tracking[[#This Row],[Type]]="Income", shift_late_income_status="Active", DAY(tracking[[#This Row],[Date]])&gt;=shift_late_income_starting_day), DATE(YEAR(tracking[[#This Row],[Date]]), MONTH(tracking[[#This Row],[Date]])+1, 1), tracking[[#This Row],[Date]])</f>
        <v/>
      </c>
    </row>
    <row r="137">
      <c r="C137" s="38" t="n"/>
      <c r="D137" s="16" t="n"/>
      <c r="E137" s="16" t="n"/>
      <c r="F137" s="106" t="n"/>
      <c r="G137" s="20" t="n"/>
      <c r="H137" s="106" t="n"/>
      <c r="I137" s="42">
        <f> IF(AND(tracking[[#This Row],[Type]]="Income", shift_late_income_status="Active", DAY(tracking[[#This Row],[Date]])&gt;=shift_late_income_starting_day), DATE(YEAR(tracking[[#This Row],[Date]]), MONTH(tracking[[#This Row],[Date]])+1, 1), tracking[[#This Row],[Date]])</f>
        <v/>
      </c>
    </row>
    <row r="138">
      <c r="C138" s="38" t="n"/>
      <c r="D138" s="16" t="n"/>
      <c r="E138" s="16" t="n"/>
      <c r="F138" s="106" t="n"/>
      <c r="G138" s="20" t="n"/>
      <c r="H138" s="106" t="n"/>
      <c r="I138" s="42">
        <f> IF(AND(tracking[[#This Row],[Type]]="Income", shift_late_income_status="Active", DAY(tracking[[#This Row],[Date]])&gt;=shift_late_income_starting_day), DATE(YEAR(tracking[[#This Row],[Date]]), MONTH(tracking[[#This Row],[Date]])+1, 1), tracking[[#This Row],[Date]])</f>
        <v/>
      </c>
    </row>
    <row r="139">
      <c r="C139" s="38" t="n"/>
      <c r="D139" s="16" t="n"/>
      <c r="E139" s="16" t="n"/>
      <c r="F139" s="106" t="n"/>
      <c r="G139" s="20" t="n"/>
      <c r="H139" s="106" t="n"/>
      <c r="I139" s="42">
        <f> IF(AND(tracking[[#This Row],[Type]]="Income", shift_late_income_status="Active", DAY(tracking[[#This Row],[Date]])&gt;=shift_late_income_starting_day), DATE(YEAR(tracking[[#This Row],[Date]]), MONTH(tracking[[#This Row],[Date]])+1, 1), tracking[[#This Row],[Date]])</f>
        <v/>
      </c>
    </row>
    <row r="140">
      <c r="C140" s="38" t="n"/>
      <c r="D140" s="16" t="n"/>
      <c r="E140" s="16" t="n"/>
      <c r="F140" s="106" t="n"/>
      <c r="G140" s="20" t="n"/>
      <c r="H140" s="106" t="n"/>
      <c r="I140" s="42">
        <f> IF(AND(tracking[[#This Row],[Type]]="Income", shift_late_income_status="Active", DAY(tracking[[#This Row],[Date]])&gt;=shift_late_income_starting_day), DATE(YEAR(tracking[[#This Row],[Date]]), MONTH(tracking[[#This Row],[Date]])+1, 1), tracking[[#This Row],[Date]])</f>
        <v/>
      </c>
    </row>
    <row r="141">
      <c r="C141" s="38" t="n"/>
      <c r="D141" s="16" t="n"/>
      <c r="E141" s="16" t="n"/>
      <c r="F141" s="106" t="n"/>
      <c r="G141" s="20" t="n"/>
      <c r="H141" s="106" t="n"/>
      <c r="I141" s="42">
        <f> IF(AND(tracking[[#This Row],[Type]]="Income", shift_late_income_status="Active", DAY(tracking[[#This Row],[Date]])&gt;=shift_late_income_starting_day), DATE(YEAR(tracking[[#This Row],[Date]]), MONTH(tracking[[#This Row],[Date]])+1, 1), tracking[[#This Row],[Date]])</f>
        <v/>
      </c>
    </row>
    <row r="142">
      <c r="C142" s="38" t="n"/>
      <c r="D142" s="16" t="n"/>
      <c r="E142" s="16" t="n"/>
      <c r="F142" s="106" t="n"/>
      <c r="G142" s="20" t="n"/>
      <c r="H142" s="106" t="n"/>
      <c r="I142" s="42">
        <f> IF(AND(tracking[[#This Row],[Type]]="Income", shift_late_income_status="Active", DAY(tracking[[#This Row],[Date]])&gt;=shift_late_income_starting_day), DATE(YEAR(tracking[[#This Row],[Date]]), MONTH(tracking[[#This Row],[Date]])+1, 1), tracking[[#This Row],[Date]])</f>
        <v/>
      </c>
    </row>
    <row r="143">
      <c r="C143" s="38" t="n"/>
      <c r="D143" s="16" t="n"/>
      <c r="E143" s="16" t="n"/>
      <c r="F143" s="106" t="n"/>
      <c r="G143" s="20" t="n"/>
      <c r="H143" s="100" t="n"/>
      <c r="I143" s="42">
        <f> IF(AND(tracking[[#This Row],[Type]]="Income", shift_late_income_status="Active", DAY(tracking[[#This Row],[Date]])&gt;=shift_late_income_starting_day), DATE(YEAR(tracking[[#This Row],[Date]]), MONTH(tracking[[#This Row],[Date]])+1, 1), tracking[[#This Row],[Date]])</f>
        <v/>
      </c>
    </row>
    <row r="144">
      <c r="C144" s="38" t="n"/>
      <c r="D144" s="16" t="n"/>
      <c r="E144" s="16" t="n"/>
      <c r="F144" s="106" t="n"/>
      <c r="G144" s="20" t="n"/>
      <c r="H144" s="106" t="n"/>
      <c r="I144" s="42">
        <f> IF(AND(tracking[[#This Row],[Type]]="Income", shift_late_income_status="Active", DAY(tracking[[#This Row],[Date]])&gt;=shift_late_income_starting_day), DATE(YEAR(tracking[[#This Row],[Date]]), MONTH(tracking[[#This Row],[Date]])+1, 1), tracking[[#This Row],[Date]])</f>
        <v/>
      </c>
    </row>
    <row r="145">
      <c r="C145" s="38" t="n"/>
      <c r="D145" s="16" t="n"/>
      <c r="E145" s="16" t="n"/>
      <c r="F145" s="106" t="n"/>
      <c r="G145" s="20" t="n"/>
      <c r="H145" s="106" t="n"/>
      <c r="I145" s="42">
        <f> IF(AND(tracking[[#This Row],[Type]]="Income", shift_late_income_status="Active", DAY(tracking[[#This Row],[Date]])&gt;=shift_late_income_starting_day), DATE(YEAR(tracking[[#This Row],[Date]]), MONTH(tracking[[#This Row],[Date]])+1, 1), tracking[[#This Row],[Date]])</f>
        <v/>
      </c>
    </row>
    <row r="146">
      <c r="C146" s="38" t="n"/>
      <c r="D146" s="16" t="n"/>
      <c r="E146" s="16" t="n"/>
      <c r="F146" s="106" t="n"/>
      <c r="G146" s="20" t="n"/>
      <c r="H146" s="106" t="n"/>
      <c r="I146" s="42">
        <f> IF(AND(tracking[[#This Row],[Type]]="Income", shift_late_income_status="Active", DAY(tracking[[#This Row],[Date]])&gt;=shift_late_income_starting_day), DATE(YEAR(tracking[[#This Row],[Date]]), MONTH(tracking[[#This Row],[Date]])+1, 1), tracking[[#This Row],[Date]])</f>
        <v/>
      </c>
    </row>
    <row r="147">
      <c r="C147" s="38" t="n"/>
      <c r="D147" s="16" t="n"/>
      <c r="E147" s="16" t="n"/>
      <c r="F147" s="106" t="n"/>
      <c r="G147" s="20" t="n"/>
      <c r="H147" s="106" t="n"/>
      <c r="I147" s="42">
        <f> IF(AND(tracking[[#This Row],[Type]]="Income", shift_late_income_status="Active", DAY(tracking[[#This Row],[Date]])&gt;=shift_late_income_starting_day), DATE(YEAR(tracking[[#This Row],[Date]]), MONTH(tracking[[#This Row],[Date]])+1, 1), tracking[[#This Row],[Date]])</f>
        <v/>
      </c>
    </row>
    <row r="148">
      <c r="C148" s="38" t="n"/>
      <c r="D148" s="16" t="n"/>
      <c r="E148" s="16" t="n"/>
      <c r="F148" s="106" t="n"/>
      <c r="G148" s="20" t="n"/>
      <c r="H148" s="106" t="n"/>
      <c r="I148" s="42">
        <f> IF(AND(tracking[[#This Row],[Type]]="Income", shift_late_income_status="Active", DAY(tracking[[#This Row],[Date]])&gt;=shift_late_income_starting_day), DATE(YEAR(tracking[[#This Row],[Date]]), MONTH(tracking[[#This Row],[Date]])+1, 1), tracking[[#This Row],[Date]])</f>
        <v/>
      </c>
    </row>
    <row r="149">
      <c r="C149" s="38" t="n"/>
      <c r="D149" s="16" t="n"/>
      <c r="E149" s="16" t="n"/>
      <c r="F149" s="106" t="n"/>
      <c r="G149" s="20" t="n"/>
      <c r="H149" s="106" t="n"/>
      <c r="I149" s="42">
        <f> IF(AND(tracking[[#This Row],[Type]]="Income", shift_late_income_status="Active", DAY(tracking[[#This Row],[Date]])&gt;=shift_late_income_starting_day), DATE(YEAR(tracking[[#This Row],[Date]]), MONTH(tracking[[#This Row],[Date]])+1, 1), tracking[[#This Row],[Date]])</f>
        <v/>
      </c>
    </row>
    <row r="150">
      <c r="C150" s="38" t="n"/>
      <c r="D150" s="16" t="n"/>
      <c r="E150" s="16" t="n"/>
      <c r="F150" s="106" t="n"/>
      <c r="G150" s="20" t="n"/>
      <c r="H150" s="106" t="n"/>
      <c r="I150" s="42">
        <f> IF(AND(tracking[[#This Row],[Type]]="Income", shift_late_income_status="Active", DAY(tracking[[#This Row],[Date]])&gt;=shift_late_income_starting_day), DATE(YEAR(tracking[[#This Row],[Date]]), MONTH(tracking[[#This Row],[Date]])+1, 1), tracking[[#This Row],[Date]])</f>
        <v/>
      </c>
    </row>
    <row r="151">
      <c r="C151" s="38" t="n"/>
      <c r="D151" s="16" t="n"/>
      <c r="E151" s="16" t="n"/>
      <c r="F151" s="106" t="n"/>
      <c r="G151" s="20" t="n"/>
      <c r="H151" s="106" t="n"/>
      <c r="I151" s="42">
        <f> IF(AND(tracking[[#This Row],[Type]]="Income", shift_late_income_status="Active", DAY(tracking[[#This Row],[Date]])&gt;=shift_late_income_starting_day), DATE(YEAR(tracking[[#This Row],[Date]]), MONTH(tracking[[#This Row],[Date]])+1, 1), tracking[[#This Row],[Date]])</f>
        <v/>
      </c>
    </row>
    <row r="152">
      <c r="C152" s="38" t="n"/>
      <c r="D152" s="16" t="n"/>
      <c r="E152" s="16" t="n"/>
      <c r="F152" s="106" t="n"/>
      <c r="G152" s="20" t="n"/>
      <c r="H152" s="106" t="n"/>
      <c r="I152" s="42">
        <f> IF(AND(tracking[[#This Row],[Type]]="Income", shift_late_income_status="Active", DAY(tracking[[#This Row],[Date]])&gt;=shift_late_income_starting_day), DATE(YEAR(tracking[[#This Row],[Date]]), MONTH(tracking[[#This Row],[Date]])+1, 1), tracking[[#This Row],[Date]])</f>
        <v/>
      </c>
    </row>
    <row r="153">
      <c r="C153" s="38" t="n"/>
      <c r="D153" s="16" t="n"/>
      <c r="E153" s="16" t="n"/>
      <c r="F153" s="106" t="n"/>
      <c r="G153" s="20" t="n"/>
      <c r="H153" s="106" t="n"/>
      <c r="I153" s="42">
        <f> IF(AND(tracking[[#This Row],[Type]]="Income", shift_late_income_status="Active", DAY(tracking[[#This Row],[Date]])&gt;=shift_late_income_starting_day), DATE(YEAR(tracking[[#This Row],[Date]]), MONTH(tracking[[#This Row],[Date]])+1, 1), tracking[[#This Row],[Date]])</f>
        <v/>
      </c>
    </row>
    <row r="154">
      <c r="C154" s="38" t="n"/>
      <c r="D154" s="16" t="n"/>
      <c r="E154" s="16" t="n"/>
      <c r="F154" s="106" t="n"/>
      <c r="G154" s="20" t="n"/>
      <c r="H154" s="106" t="n"/>
      <c r="I154" s="42">
        <f> IF(AND(tracking[[#This Row],[Type]]="Income", shift_late_income_status="Active", DAY(tracking[[#This Row],[Date]])&gt;=shift_late_income_starting_day), DATE(YEAR(tracking[[#This Row],[Date]]), MONTH(tracking[[#This Row],[Date]])+1, 1), tracking[[#This Row],[Date]])</f>
        <v/>
      </c>
    </row>
    <row r="155">
      <c r="C155" s="38" t="n"/>
      <c r="D155" s="16" t="n"/>
      <c r="E155" s="16" t="n"/>
      <c r="F155" s="106" t="n"/>
      <c r="G155" s="20" t="n"/>
      <c r="H155" s="106" t="n"/>
      <c r="I155" s="42">
        <f> IF(AND(tracking[[#This Row],[Type]]="Income", shift_late_income_status="Active", DAY(tracking[[#This Row],[Date]])&gt;=shift_late_income_starting_day), DATE(YEAR(tracking[[#This Row],[Date]]), MONTH(tracking[[#This Row],[Date]])+1, 1), tracking[[#This Row],[Date]])</f>
        <v/>
      </c>
    </row>
    <row r="156">
      <c r="C156" s="38" t="n"/>
      <c r="D156" s="16" t="n"/>
      <c r="E156" s="16" t="n"/>
      <c r="F156" s="106" t="n"/>
      <c r="G156" s="20" t="n"/>
      <c r="H156" s="106" t="n"/>
      <c r="I156" s="42">
        <f> IF(AND(tracking[[#This Row],[Type]]="Income", shift_late_income_status="Active", DAY(tracking[[#This Row],[Date]])&gt;=shift_late_income_starting_day), DATE(YEAR(tracking[[#This Row],[Date]]), MONTH(tracking[[#This Row],[Date]])+1, 1), tracking[[#This Row],[Date]])</f>
        <v/>
      </c>
    </row>
    <row r="157">
      <c r="C157" s="38" t="n"/>
      <c r="D157" s="16" t="n"/>
      <c r="E157" s="16" t="n"/>
      <c r="F157" s="106" t="n"/>
      <c r="G157" s="20" t="n"/>
      <c r="H157" s="106" t="n"/>
      <c r="I157" s="42">
        <f> IF(AND(tracking[[#This Row],[Type]]="Income", shift_late_income_status="Active", DAY(tracking[[#This Row],[Date]])&gt;=shift_late_income_starting_day), DATE(YEAR(tracking[[#This Row],[Date]]), MONTH(tracking[[#This Row],[Date]])+1, 1), tracking[[#This Row],[Date]])</f>
        <v/>
      </c>
    </row>
    <row r="158">
      <c r="C158" s="38" t="n"/>
      <c r="D158" s="16" t="n"/>
      <c r="E158" s="16" t="n"/>
      <c r="F158" s="106" t="n"/>
      <c r="G158" s="20" t="n"/>
      <c r="H158" s="106" t="n"/>
      <c r="I158" s="42">
        <f> IF(AND(tracking[[#This Row],[Type]]="Income", shift_late_income_status="Active", DAY(tracking[[#This Row],[Date]])&gt;=shift_late_income_starting_day), DATE(YEAR(tracking[[#This Row],[Date]]), MONTH(tracking[[#This Row],[Date]])+1, 1), tracking[[#This Row],[Date]])</f>
        <v/>
      </c>
    </row>
    <row r="159">
      <c r="C159" s="38" t="n"/>
      <c r="D159" s="16" t="n"/>
      <c r="E159" s="16" t="n"/>
      <c r="F159" s="106" t="n"/>
      <c r="G159" s="20" t="n"/>
      <c r="H159" s="106" t="n"/>
      <c r="I159" s="42">
        <f> IF(AND(tracking[[#This Row],[Type]]="Income", shift_late_income_status="Active", DAY(tracking[[#This Row],[Date]])&gt;=shift_late_income_starting_day), DATE(YEAR(tracking[[#This Row],[Date]]), MONTH(tracking[[#This Row],[Date]])+1, 1), tracking[[#This Row],[Date]])</f>
        <v/>
      </c>
    </row>
    <row r="160">
      <c r="C160" s="38" t="n"/>
      <c r="D160" s="16" t="n"/>
      <c r="E160" s="16" t="n"/>
      <c r="F160" s="106" t="n"/>
      <c r="G160" s="20" t="n"/>
      <c r="H160" s="106" t="n"/>
      <c r="I160" s="42">
        <f> IF(AND(tracking[[#This Row],[Type]]="Income", shift_late_income_status="Active", DAY(tracking[[#This Row],[Date]])&gt;=shift_late_income_starting_day), DATE(YEAR(tracking[[#This Row],[Date]]), MONTH(tracking[[#This Row],[Date]])+1, 1), tracking[[#This Row],[Date]])</f>
        <v/>
      </c>
    </row>
    <row r="161">
      <c r="C161" s="38" t="n"/>
      <c r="D161" s="16" t="n"/>
      <c r="E161" s="16" t="n"/>
      <c r="F161" s="106" t="n"/>
      <c r="G161" s="20" t="n"/>
      <c r="H161" s="106" t="n"/>
      <c r="I161" s="42">
        <f> IF(AND(tracking[[#This Row],[Type]]="Income", shift_late_income_status="Active", DAY(tracking[[#This Row],[Date]])&gt;=shift_late_income_starting_day), DATE(YEAR(tracking[[#This Row],[Date]]), MONTH(tracking[[#This Row],[Date]])+1, 1), tracking[[#This Row],[Date]])</f>
        <v/>
      </c>
    </row>
    <row r="162">
      <c r="C162" s="38" t="n"/>
      <c r="D162" s="16" t="n"/>
      <c r="E162" s="16" t="n"/>
      <c r="F162" s="106" t="n"/>
      <c r="G162" s="20" t="n"/>
      <c r="H162" s="106" t="n"/>
      <c r="I162" s="42">
        <f> IF(AND(tracking[[#This Row],[Type]]="Income", shift_late_income_status="Active", DAY(tracking[[#This Row],[Date]])&gt;=shift_late_income_starting_day), DATE(YEAR(tracking[[#This Row],[Date]]), MONTH(tracking[[#This Row],[Date]])+1, 1), tracking[[#This Row],[Date]])</f>
        <v/>
      </c>
    </row>
    <row r="163">
      <c r="C163" s="38" t="n"/>
      <c r="D163" s="16" t="n"/>
      <c r="E163" s="16" t="n"/>
      <c r="F163" s="106" t="n"/>
      <c r="G163" s="20" t="n"/>
      <c r="H163" s="106" t="n"/>
      <c r="I163" s="42">
        <f> IF(AND(tracking[[#This Row],[Type]]="Income", shift_late_income_status="Active", DAY(tracking[[#This Row],[Date]])&gt;=shift_late_income_starting_day), DATE(YEAR(tracking[[#This Row],[Date]]), MONTH(tracking[[#This Row],[Date]])+1, 1), tracking[[#This Row],[Date]])</f>
        <v/>
      </c>
    </row>
    <row r="164">
      <c r="C164" s="38" t="n"/>
      <c r="D164" s="16" t="n"/>
      <c r="E164" s="16" t="n"/>
      <c r="F164" s="106" t="n"/>
      <c r="G164" s="20" t="n"/>
      <c r="H164" s="106" t="n"/>
      <c r="I164" s="42">
        <f> IF(AND(tracking[[#This Row],[Type]]="Income", shift_late_income_status="Active", DAY(tracking[[#This Row],[Date]])&gt;=shift_late_income_starting_day), DATE(YEAR(tracking[[#This Row],[Date]]), MONTH(tracking[[#This Row],[Date]])+1, 1), tracking[[#This Row],[Date]])</f>
        <v/>
      </c>
    </row>
    <row r="165">
      <c r="C165" s="38" t="n"/>
      <c r="D165" s="16" t="n"/>
      <c r="E165" s="16" t="n"/>
      <c r="F165" s="106" t="n"/>
      <c r="G165" s="20" t="n"/>
      <c r="H165" s="106" t="n"/>
      <c r="I165" s="42">
        <f> IF(AND(tracking[[#This Row],[Type]]="Income", shift_late_income_status="Active", DAY(tracking[[#This Row],[Date]])&gt;=shift_late_income_starting_day), DATE(YEAR(tracking[[#This Row],[Date]]), MONTH(tracking[[#This Row],[Date]])+1, 1), tracking[[#This Row],[Date]])</f>
        <v/>
      </c>
    </row>
    <row r="166">
      <c r="C166" s="38" t="n"/>
      <c r="D166" s="16" t="n"/>
      <c r="E166" s="16" t="n"/>
      <c r="F166" s="106" t="n"/>
      <c r="G166" s="20" t="n"/>
      <c r="H166" s="100" t="n"/>
      <c r="I166" s="42">
        <f> IF(AND(tracking[[#This Row],[Type]]="Income", shift_late_income_status="Active", DAY(tracking[[#This Row],[Date]])&gt;=shift_late_income_starting_day), DATE(YEAR(tracking[[#This Row],[Date]]), MONTH(tracking[[#This Row],[Date]])+1, 1), tracking[[#This Row],[Date]])</f>
        <v/>
      </c>
    </row>
    <row r="167">
      <c r="C167" s="38" t="n"/>
      <c r="D167" s="16" t="n"/>
      <c r="E167" s="16" t="n"/>
      <c r="F167" s="106" t="n"/>
      <c r="G167" s="20" t="n"/>
      <c r="H167" s="108" t="n"/>
      <c r="I167" s="42">
        <f> IF(AND(tracking[[#This Row],[Type]]="Income", shift_late_income_status="Active", DAY(tracking[[#This Row],[Date]])&gt;=shift_late_income_starting_day), DATE(YEAR(tracking[[#This Row],[Date]]), MONTH(tracking[[#This Row],[Date]])+1, 1), tracking[[#This Row],[Date]])</f>
        <v/>
      </c>
    </row>
    <row r="168">
      <c r="C168" s="38" t="n"/>
      <c r="D168" s="16" t="n"/>
      <c r="E168" s="16" t="n"/>
      <c r="F168" s="106" t="n"/>
      <c r="G168" s="20" t="n"/>
      <c r="H168" s="106" t="n"/>
      <c r="I168" s="42">
        <f> IF(AND(tracking[[#This Row],[Type]]="Income", shift_late_income_status="Active", DAY(tracking[[#This Row],[Date]])&gt;=shift_late_income_starting_day), DATE(YEAR(tracking[[#This Row],[Date]]), MONTH(tracking[[#This Row],[Date]])+1, 1), tracking[[#This Row],[Date]])</f>
        <v/>
      </c>
    </row>
    <row r="169">
      <c r="C169" s="38" t="n"/>
      <c r="D169" s="16" t="n"/>
      <c r="E169" s="16" t="n"/>
      <c r="F169" s="106" t="n"/>
      <c r="G169" s="20" t="n"/>
      <c r="H169" s="106" t="n"/>
      <c r="I169" s="42">
        <f> IF(AND(tracking[[#This Row],[Type]]="Income", shift_late_income_status="Active", DAY(tracking[[#This Row],[Date]])&gt;=shift_late_income_starting_day), DATE(YEAR(tracking[[#This Row],[Date]]), MONTH(tracking[[#This Row],[Date]])+1, 1), tracking[[#This Row],[Date]])</f>
        <v/>
      </c>
    </row>
    <row r="170">
      <c r="C170" s="38" t="n"/>
      <c r="D170" s="16" t="n"/>
      <c r="E170" s="16" t="n"/>
      <c r="F170" s="106" t="n"/>
      <c r="G170" s="20" t="n"/>
      <c r="H170" s="106" t="n"/>
      <c r="I170" s="42">
        <f> IF(AND(tracking[[#This Row],[Type]]="Income", shift_late_income_status="Active", DAY(tracking[[#This Row],[Date]])&gt;=shift_late_income_starting_day), DATE(YEAR(tracking[[#This Row],[Date]]), MONTH(tracking[[#This Row],[Date]])+1, 1), tracking[[#This Row],[Date]])</f>
        <v/>
      </c>
    </row>
    <row r="171">
      <c r="C171" s="38" t="n"/>
      <c r="D171" s="16" t="n"/>
      <c r="E171" s="16" t="n"/>
      <c r="F171" s="106" t="n"/>
      <c r="G171" s="20" t="n"/>
      <c r="H171" s="106" t="n"/>
      <c r="I171" s="42">
        <f> IF(AND(tracking[[#This Row],[Type]]="Income", shift_late_income_status="Active", DAY(tracking[[#This Row],[Date]])&gt;=shift_late_income_starting_day), DATE(YEAR(tracking[[#This Row],[Date]]), MONTH(tracking[[#This Row],[Date]])+1, 1), tracking[[#This Row],[Date]])</f>
        <v/>
      </c>
    </row>
    <row r="172">
      <c r="C172" s="38" t="n"/>
      <c r="D172" s="16" t="n"/>
      <c r="E172" s="16" t="n"/>
      <c r="F172" s="106" t="n"/>
      <c r="G172" s="20" t="n"/>
      <c r="H172" s="106" t="n"/>
      <c r="I172" s="42">
        <f> IF(AND(tracking[[#This Row],[Type]]="Income", shift_late_income_status="Active", DAY(tracking[[#This Row],[Date]])&gt;=shift_late_income_starting_day), DATE(YEAR(tracking[[#This Row],[Date]]), MONTH(tracking[[#This Row],[Date]])+1, 1), tracking[[#This Row],[Date]])</f>
        <v/>
      </c>
    </row>
    <row r="173">
      <c r="C173" s="38" t="n"/>
      <c r="D173" s="16" t="n"/>
      <c r="E173" s="16" t="n"/>
      <c r="F173" s="106" t="n"/>
      <c r="G173" s="20" t="n"/>
      <c r="H173" s="106" t="n"/>
      <c r="I173" s="42">
        <f> IF(AND(tracking[[#This Row],[Type]]="Income", shift_late_income_status="Active", DAY(tracking[[#This Row],[Date]])&gt;=shift_late_income_starting_day), DATE(YEAR(tracking[[#This Row],[Date]]), MONTH(tracking[[#This Row],[Date]])+1, 1), tracking[[#This Row],[Date]])</f>
        <v/>
      </c>
    </row>
    <row r="174">
      <c r="C174" s="38" t="n"/>
      <c r="D174" s="16" t="n"/>
      <c r="E174" s="16" t="n"/>
      <c r="F174" s="106" t="n"/>
      <c r="G174" s="20" t="n"/>
      <c r="H174" s="106" t="n"/>
      <c r="I174" s="42">
        <f> IF(AND(tracking[[#This Row],[Type]]="Income", shift_late_income_status="Active", DAY(tracking[[#This Row],[Date]])&gt;=shift_late_income_starting_day), DATE(YEAR(tracking[[#This Row],[Date]]), MONTH(tracking[[#This Row],[Date]])+1, 1), tracking[[#This Row],[Date]])</f>
        <v/>
      </c>
    </row>
    <row r="175">
      <c r="C175" s="38" t="n"/>
      <c r="D175" s="16" t="n"/>
      <c r="E175" s="16" t="n"/>
      <c r="F175" s="106" t="n"/>
      <c r="G175" s="20" t="n"/>
      <c r="H175" s="106" t="n"/>
      <c r="I175" s="42">
        <f> IF(AND(tracking[[#This Row],[Type]]="Income", shift_late_income_status="Active", DAY(tracking[[#This Row],[Date]])&gt;=shift_late_income_starting_day), DATE(YEAR(tracking[[#This Row],[Date]]), MONTH(tracking[[#This Row],[Date]])+1, 1), tracking[[#This Row],[Date]])</f>
        <v/>
      </c>
    </row>
    <row r="176">
      <c r="C176" s="38" t="n"/>
      <c r="D176" s="16" t="n"/>
      <c r="E176" s="16" t="n"/>
      <c r="F176" s="106" t="n"/>
      <c r="G176" s="20" t="n"/>
      <c r="H176" s="106" t="n"/>
      <c r="I176" s="42">
        <f> IF(AND(tracking[[#This Row],[Type]]="Income", shift_late_income_status="Active", DAY(tracking[[#This Row],[Date]])&gt;=shift_late_income_starting_day), DATE(YEAR(tracking[[#This Row],[Date]]), MONTH(tracking[[#This Row],[Date]])+1, 1), tracking[[#This Row],[Date]])</f>
        <v/>
      </c>
    </row>
    <row r="177">
      <c r="C177" s="38" t="n"/>
      <c r="D177" s="16" t="n"/>
      <c r="E177" s="16" t="n"/>
      <c r="F177" s="106" t="n"/>
      <c r="G177" s="20" t="n"/>
      <c r="H177" s="106" t="n"/>
      <c r="I177" s="42">
        <f> IF(AND(tracking[[#This Row],[Type]]="Income", shift_late_income_status="Active", DAY(tracking[[#This Row],[Date]])&gt;=shift_late_income_starting_day), DATE(YEAR(tracking[[#This Row],[Date]]), MONTH(tracking[[#This Row],[Date]])+1, 1), tracking[[#This Row],[Date]])</f>
        <v/>
      </c>
    </row>
    <row r="178">
      <c r="C178" s="38" t="n"/>
      <c r="D178" s="16" t="n"/>
      <c r="E178" s="16" t="n"/>
      <c r="F178" s="106" t="n"/>
      <c r="G178" s="20" t="n"/>
      <c r="H178" s="106" t="n"/>
      <c r="I178" s="42">
        <f> IF(AND(tracking[[#This Row],[Type]]="Income", shift_late_income_status="Active", DAY(tracking[[#This Row],[Date]])&gt;=shift_late_income_starting_day), DATE(YEAR(tracking[[#This Row],[Date]]), MONTH(tracking[[#This Row],[Date]])+1, 1), tracking[[#This Row],[Date]])</f>
        <v/>
      </c>
    </row>
    <row r="179">
      <c r="C179" s="38" t="n"/>
      <c r="D179" s="16" t="n"/>
      <c r="E179" s="16" t="n"/>
      <c r="F179" s="106" t="n"/>
      <c r="G179" s="20" t="n"/>
      <c r="H179" s="106" t="n"/>
      <c r="I179" s="42">
        <f> IF(AND(tracking[[#This Row],[Type]]="Income", shift_late_income_status="Active", DAY(tracking[[#This Row],[Date]])&gt;=shift_late_income_starting_day), DATE(YEAR(tracking[[#This Row],[Date]]), MONTH(tracking[[#This Row],[Date]])+1, 1), tracking[[#This Row],[Date]])</f>
        <v/>
      </c>
    </row>
    <row r="180">
      <c r="C180" s="38" t="n"/>
      <c r="D180" s="16" t="n"/>
      <c r="E180" s="16" t="n"/>
      <c r="F180" s="106" t="n"/>
      <c r="G180" s="20" t="n"/>
      <c r="H180" s="106" t="n"/>
      <c r="I180" s="42">
        <f> IF(AND(tracking[[#This Row],[Type]]="Income", shift_late_income_status="Active", DAY(tracking[[#This Row],[Date]])&gt;=shift_late_income_starting_day), DATE(YEAR(tracking[[#This Row],[Date]]), MONTH(tracking[[#This Row],[Date]])+1, 1), tracking[[#This Row],[Date]])</f>
        <v/>
      </c>
    </row>
    <row r="181">
      <c r="C181" s="38" t="n"/>
      <c r="D181" s="16" t="n"/>
      <c r="E181" s="16" t="n"/>
      <c r="F181" s="106" t="n"/>
      <c r="G181" s="20" t="n"/>
      <c r="H181" s="106" t="n"/>
      <c r="I181" s="42">
        <f> IF(AND(tracking[[#This Row],[Type]]="Income", shift_late_income_status="Active", DAY(tracking[[#This Row],[Date]])&gt;=shift_late_income_starting_day), DATE(YEAR(tracking[[#This Row],[Date]]), MONTH(tracking[[#This Row],[Date]])+1, 1), tracking[[#This Row],[Date]])</f>
        <v/>
      </c>
    </row>
    <row r="182">
      <c r="C182" s="38" t="n"/>
      <c r="D182" s="16" t="n"/>
      <c r="E182" s="16" t="n"/>
      <c r="F182" s="106" t="n"/>
      <c r="G182" s="20" t="n"/>
      <c r="H182" s="106" t="n"/>
      <c r="I182" s="42">
        <f> IF(AND(tracking[[#This Row],[Type]]="Income", shift_late_income_status="Active", DAY(tracking[[#This Row],[Date]])&gt;=shift_late_income_starting_day), DATE(YEAR(tracking[[#This Row],[Date]]), MONTH(tracking[[#This Row],[Date]])+1, 1), tracking[[#This Row],[Date]])</f>
        <v/>
      </c>
    </row>
    <row r="183">
      <c r="C183" s="38" t="n"/>
      <c r="D183" s="16" t="n"/>
      <c r="E183" s="16" t="n"/>
      <c r="F183" s="106" t="n"/>
      <c r="G183" s="20" t="n"/>
      <c r="H183" s="106" t="n"/>
      <c r="I183" s="42">
        <f> IF(AND(tracking[[#This Row],[Type]]="Income", shift_late_income_status="Active", DAY(tracking[[#This Row],[Date]])&gt;=shift_late_income_starting_day), DATE(YEAR(tracking[[#This Row],[Date]]), MONTH(tracking[[#This Row],[Date]])+1, 1), tracking[[#This Row],[Date]])</f>
        <v/>
      </c>
    </row>
    <row r="184">
      <c r="C184" s="38" t="n"/>
      <c r="D184" s="16" t="n"/>
      <c r="E184" s="16" t="n"/>
      <c r="F184" s="106" t="n"/>
      <c r="G184" s="20" t="n"/>
      <c r="H184" s="106" t="n"/>
      <c r="I184" s="42">
        <f> IF(AND(tracking[[#This Row],[Type]]="Income", shift_late_income_status="Active", DAY(tracking[[#This Row],[Date]])&gt;=shift_late_income_starting_day), DATE(YEAR(tracking[[#This Row],[Date]]), MONTH(tracking[[#This Row],[Date]])+1, 1), tracking[[#This Row],[Date]])</f>
        <v/>
      </c>
      <c r="N184" s="7" t="n"/>
      <c r="P184" s="7" t="n"/>
      <c r="Q184" s="7" t="n"/>
      <c r="R184" s="7" t="n"/>
      <c r="S184" s="7" t="n"/>
      <c r="T184" s="7" t="n"/>
      <c r="U184" s="7" t="n"/>
    </row>
    <row r="185">
      <c r="C185" s="38" t="n"/>
      <c r="D185" s="16" t="n"/>
      <c r="E185" s="16" t="n"/>
      <c r="F185" s="106" t="n"/>
      <c r="G185" s="20" t="n"/>
      <c r="H185" s="106" t="n"/>
      <c r="I185" s="42">
        <f> IF(AND(tracking[[#This Row],[Type]]="Income", shift_late_income_status="Active", DAY(tracking[[#This Row],[Date]])&gt;=shift_late_income_starting_day), DATE(YEAR(tracking[[#This Row],[Date]]), MONTH(tracking[[#This Row],[Date]])+1, 1), tracking[[#This Row],[Date]])</f>
        <v/>
      </c>
    </row>
    <row r="186">
      <c r="C186" s="38" t="n"/>
      <c r="D186" s="16" t="n"/>
      <c r="E186" s="16" t="n"/>
      <c r="F186" s="106" t="n"/>
      <c r="G186" s="20" t="n"/>
      <c r="H186" s="106" t="n"/>
      <c r="I186" s="42">
        <f> IF(AND(tracking[[#This Row],[Type]]="Income", shift_late_income_status="Active", DAY(tracking[[#This Row],[Date]])&gt;=shift_late_income_starting_day), DATE(YEAR(tracking[[#This Row],[Date]]), MONTH(tracking[[#This Row],[Date]])+1, 1), tracking[[#This Row],[Date]])</f>
        <v/>
      </c>
      <c r="O186" s="109" t="n"/>
      <c r="P186" s="109" t="n"/>
      <c r="Q186" s="109" t="n"/>
      <c r="R186" s="109" t="n"/>
      <c r="S186" s="109" t="n"/>
      <c r="T186" s="109" t="n"/>
      <c r="U186" s="109" t="n"/>
    </row>
    <row r="187">
      <c r="C187" s="38" t="n"/>
      <c r="D187" s="16" t="n"/>
      <c r="E187" s="16" t="n"/>
      <c r="F187" s="106" t="n"/>
      <c r="G187" s="20" t="n"/>
      <c r="H187" s="106" t="n"/>
      <c r="I187" s="42">
        <f> IF(AND(tracking[[#This Row],[Type]]="Income", shift_late_income_status="Active", DAY(tracking[[#This Row],[Date]])&gt;=shift_late_income_starting_day), DATE(YEAR(tracking[[#This Row],[Date]]), MONTH(tracking[[#This Row],[Date]])+1, 1), tracking[[#This Row],[Date]])</f>
        <v/>
      </c>
      <c r="O187" s="109" t="n"/>
      <c r="P187" s="109" t="n"/>
      <c r="Q187" s="109" t="n"/>
      <c r="R187" s="109" t="n"/>
      <c r="S187" s="109" t="n"/>
      <c r="T187" s="109" t="n"/>
      <c r="U187" s="109" t="n"/>
    </row>
    <row r="188">
      <c r="C188" s="38" t="n"/>
      <c r="D188" s="16" t="n"/>
      <c r="E188" s="16" t="n"/>
      <c r="F188" s="106" t="n"/>
      <c r="G188" s="20" t="n"/>
      <c r="H188" s="106" t="n"/>
      <c r="I188" s="42">
        <f> IF(AND(tracking[[#This Row],[Type]]="Income", shift_late_income_status="Active", DAY(tracking[[#This Row],[Date]])&gt;=shift_late_income_starting_day), DATE(YEAR(tracking[[#This Row],[Date]]), MONTH(tracking[[#This Row],[Date]])+1, 1), tracking[[#This Row],[Date]])</f>
        <v/>
      </c>
      <c r="O188" s="109" t="n"/>
      <c r="P188" s="109" t="n"/>
      <c r="Q188" s="109" t="n"/>
      <c r="R188" s="109" t="n"/>
      <c r="S188" s="109" t="n"/>
      <c r="T188" s="109" t="n"/>
      <c r="U188" s="109" t="n"/>
    </row>
    <row r="189">
      <c r="C189" s="38" t="n"/>
      <c r="D189" s="16" t="n"/>
      <c r="E189" s="16" t="n"/>
      <c r="F189" s="106" t="n"/>
      <c r="G189" s="20" t="n"/>
      <c r="H189" s="106" t="n"/>
      <c r="I189" s="42">
        <f> IF(AND(tracking[[#This Row],[Type]]="Income", shift_late_income_status="Active", DAY(tracking[[#This Row],[Date]])&gt;=shift_late_income_starting_day), DATE(YEAR(tracking[[#This Row],[Date]]), MONTH(tracking[[#This Row],[Date]])+1, 1), tracking[[#This Row],[Date]])</f>
        <v/>
      </c>
      <c r="O189" s="109" t="n"/>
      <c r="P189" s="109" t="n"/>
      <c r="Q189" s="109" t="n"/>
      <c r="R189" s="109" t="n"/>
      <c r="S189" s="109" t="n"/>
      <c r="T189" s="109" t="n"/>
      <c r="U189" s="109" t="n"/>
    </row>
    <row r="190">
      <c r="C190" s="38" t="n"/>
      <c r="D190" s="16" t="n"/>
      <c r="E190" s="16" t="n"/>
      <c r="F190" s="106" t="n"/>
      <c r="G190" s="20" t="n"/>
      <c r="H190" s="106" t="n"/>
      <c r="I190" s="42">
        <f> IF(AND(tracking[[#This Row],[Type]]="Income", shift_late_income_status="Active", DAY(tracking[[#This Row],[Date]])&gt;=shift_late_income_starting_day), DATE(YEAR(tracking[[#This Row],[Date]]), MONTH(tracking[[#This Row],[Date]])+1, 1), tracking[[#This Row],[Date]])</f>
        <v/>
      </c>
      <c r="O190" s="109" t="n"/>
      <c r="P190" s="109" t="n"/>
      <c r="Q190" s="109" t="n"/>
      <c r="R190" s="109" t="n"/>
      <c r="S190" s="109" t="n"/>
      <c r="T190" s="109" t="n"/>
      <c r="U190" s="109" t="n"/>
    </row>
    <row r="191">
      <c r="C191" s="38" t="n"/>
      <c r="D191" s="16" t="n"/>
      <c r="E191" s="16" t="n"/>
      <c r="F191" s="106" t="n"/>
      <c r="G191" s="20" t="n"/>
      <c r="H191" s="106" t="n"/>
      <c r="I191" s="42">
        <f> IF(AND(tracking[[#This Row],[Type]]="Income", shift_late_income_status="Active", DAY(tracking[[#This Row],[Date]])&gt;=shift_late_income_starting_day), DATE(YEAR(tracking[[#This Row],[Date]]), MONTH(tracking[[#This Row],[Date]])+1, 1), tracking[[#This Row],[Date]])</f>
        <v/>
      </c>
      <c r="O191" s="109" t="n"/>
      <c r="P191" s="109" t="n"/>
      <c r="Q191" s="109" t="n"/>
      <c r="R191" s="109" t="n"/>
      <c r="S191" s="109" t="n"/>
      <c r="T191" s="109" t="n"/>
      <c r="U191" s="109" t="n"/>
    </row>
    <row r="192">
      <c r="C192" s="38" t="n"/>
      <c r="D192" s="16" t="n"/>
      <c r="E192" s="16" t="n"/>
      <c r="F192" s="106" t="n"/>
      <c r="G192" s="20" t="n"/>
      <c r="H192" s="100" t="n"/>
      <c r="I192" s="42">
        <f> IF(AND(tracking[[#This Row],[Type]]="Income", shift_late_income_status="Active", DAY(tracking[[#This Row],[Date]])&gt;=shift_late_income_starting_day), DATE(YEAR(tracking[[#This Row],[Date]]), MONTH(tracking[[#This Row],[Date]])+1, 1), tracking[[#This Row],[Date]])</f>
        <v/>
      </c>
      <c r="O192" s="109" t="n"/>
      <c r="P192" s="109" t="n"/>
      <c r="Q192" s="109" t="n"/>
      <c r="R192" s="109" t="n"/>
      <c r="S192" s="109" t="n"/>
      <c r="T192" s="109" t="n"/>
      <c r="U192" s="109" t="n"/>
    </row>
    <row r="193">
      <c r="C193" s="38" t="n"/>
      <c r="D193" s="16" t="n"/>
      <c r="E193" s="16" t="n"/>
      <c r="F193" s="106" t="n"/>
      <c r="G193" s="20" t="n"/>
      <c r="H193" s="106" t="n"/>
      <c r="I193" s="42">
        <f> IF(AND(tracking[[#This Row],[Type]]="Income", shift_late_income_status="Active", DAY(tracking[[#This Row],[Date]])&gt;=shift_late_income_starting_day), DATE(YEAR(tracking[[#This Row],[Date]]), MONTH(tracking[[#This Row],[Date]])+1, 1), tracking[[#This Row],[Date]])</f>
        <v/>
      </c>
      <c r="O193" s="109" t="n"/>
      <c r="P193" s="109" t="n"/>
      <c r="Q193" s="109" t="n"/>
      <c r="R193" s="109" t="n"/>
      <c r="S193" s="109" t="n"/>
      <c r="T193" s="109" t="n"/>
      <c r="U193" s="109" t="n"/>
    </row>
    <row r="194">
      <c r="C194" s="38" t="n"/>
      <c r="D194" s="16" t="n"/>
      <c r="E194" s="16" t="n"/>
      <c r="F194" s="106" t="n"/>
      <c r="G194" s="20" t="n"/>
      <c r="H194" s="106" t="n"/>
      <c r="I194" s="42">
        <f> IF(AND(tracking[[#This Row],[Type]]="Income", shift_late_income_status="Active", DAY(tracking[[#This Row],[Date]])&gt;=shift_late_income_starting_day), DATE(YEAR(tracking[[#This Row],[Date]]), MONTH(tracking[[#This Row],[Date]])+1, 1), tracking[[#This Row],[Date]])</f>
        <v/>
      </c>
      <c r="O194" s="109" t="n"/>
      <c r="P194" s="109" t="n"/>
      <c r="Q194" s="109" t="n"/>
      <c r="R194" s="109" t="n"/>
      <c r="S194" s="109" t="n"/>
      <c r="T194" s="109" t="n"/>
      <c r="U194" s="109" t="n"/>
    </row>
    <row r="195">
      <c r="C195" s="38" t="n"/>
      <c r="D195" s="16" t="n"/>
      <c r="E195" s="16" t="n"/>
      <c r="F195" s="106" t="n"/>
      <c r="G195" s="20" t="n"/>
      <c r="H195" s="106" t="n"/>
      <c r="I195" s="42">
        <f> IF(AND(tracking[[#This Row],[Type]]="Income", shift_late_income_status="Active", DAY(tracking[[#This Row],[Date]])&gt;=shift_late_income_starting_day), DATE(YEAR(tracking[[#This Row],[Date]]), MONTH(tracking[[#This Row],[Date]])+1, 1), tracking[[#This Row],[Date]])</f>
        <v/>
      </c>
      <c r="N195" s="7" t="n"/>
      <c r="O195" s="109" t="n"/>
      <c r="P195" s="109" t="n"/>
      <c r="Q195" s="109" t="n"/>
      <c r="R195" s="109" t="n"/>
      <c r="S195" s="109" t="n"/>
      <c r="T195" s="109" t="n"/>
      <c r="U195" s="109" t="n"/>
    </row>
    <row r="196">
      <c r="C196" s="38" t="n"/>
      <c r="D196" s="16" t="n"/>
      <c r="E196" s="16" t="n"/>
      <c r="F196" s="106" t="n"/>
      <c r="G196" s="20" t="n"/>
      <c r="H196" s="106" t="n"/>
      <c r="I196" s="42">
        <f> IF(AND(tracking[[#This Row],[Type]]="Income", shift_late_income_status="Active", DAY(tracking[[#This Row],[Date]])&gt;=shift_late_income_starting_day), DATE(YEAR(tracking[[#This Row],[Date]]), MONTH(tracking[[#This Row],[Date]])+1, 1), tracking[[#This Row],[Date]])</f>
        <v/>
      </c>
      <c r="O196" s="109" t="n"/>
      <c r="P196" s="109" t="n"/>
      <c r="Q196" s="109" t="n"/>
      <c r="R196" s="109" t="n"/>
      <c r="S196" s="109" t="n"/>
      <c r="T196" s="109" t="n"/>
      <c r="U196" s="109" t="n"/>
    </row>
    <row r="197">
      <c r="C197" s="38" t="n"/>
      <c r="D197" s="16" t="n"/>
      <c r="E197" s="16" t="n"/>
      <c r="F197" s="106" t="n"/>
      <c r="G197" s="20" t="n"/>
      <c r="H197" s="106" t="n"/>
      <c r="I197" s="42">
        <f> IF(AND(tracking[[#This Row],[Type]]="Income", shift_late_income_status="Active", DAY(tracking[[#This Row],[Date]])&gt;=shift_late_income_starting_day), DATE(YEAR(tracking[[#This Row],[Date]]), MONTH(tracking[[#This Row],[Date]])+1, 1), tracking[[#This Row],[Date]])</f>
        <v/>
      </c>
      <c r="O197" s="109" t="n"/>
      <c r="P197" s="109" t="n"/>
      <c r="Q197" s="109" t="n"/>
      <c r="R197" s="109" t="n"/>
      <c r="S197" s="109" t="n"/>
      <c r="T197" s="109" t="n"/>
      <c r="U197" s="109" t="n"/>
    </row>
    <row r="198">
      <c r="C198" s="38" t="n"/>
      <c r="D198" s="16" t="n"/>
      <c r="E198" s="16" t="n"/>
      <c r="F198" s="106" t="n"/>
      <c r="G198" s="20" t="n"/>
      <c r="H198" s="106" t="n"/>
      <c r="I198" s="42">
        <f> IF(AND(tracking[[#This Row],[Type]]="Income", shift_late_income_status="Active", DAY(tracking[[#This Row],[Date]])&gt;=shift_late_income_starting_day), DATE(YEAR(tracking[[#This Row],[Date]]), MONTH(tracking[[#This Row],[Date]])+1, 1), tracking[[#This Row],[Date]])</f>
        <v/>
      </c>
      <c r="O198" s="109" t="n"/>
      <c r="P198" s="109" t="n"/>
      <c r="Q198" s="109" t="n"/>
      <c r="R198" s="109" t="n"/>
      <c r="S198" s="109" t="n"/>
      <c r="T198" s="109" t="n"/>
      <c r="U198" s="109" t="n"/>
    </row>
    <row r="199">
      <c r="C199" s="38" t="n"/>
      <c r="D199" s="16" t="n"/>
      <c r="E199" s="16" t="n"/>
      <c r="F199" s="106" t="n"/>
      <c r="G199" s="20" t="n"/>
      <c r="H199" s="106" t="n"/>
      <c r="I199" s="42">
        <f> IF(AND(tracking[[#This Row],[Type]]="Income", shift_late_income_status="Active", DAY(tracking[[#This Row],[Date]])&gt;=shift_late_income_starting_day), DATE(YEAR(tracking[[#This Row],[Date]]), MONTH(tracking[[#This Row],[Date]])+1, 1), tracking[[#This Row],[Date]])</f>
        <v/>
      </c>
      <c r="O199" s="109" t="n"/>
      <c r="P199" s="109" t="n"/>
      <c r="Q199" s="109" t="n"/>
      <c r="R199" s="109" t="n"/>
      <c r="S199" s="109" t="n"/>
      <c r="T199" s="109" t="n"/>
      <c r="U199" s="109" t="n"/>
    </row>
    <row r="200">
      <c r="C200" s="38" t="n"/>
      <c r="D200" s="16" t="n"/>
      <c r="E200" s="16" t="n"/>
      <c r="F200" s="106" t="n"/>
      <c r="G200" s="20" t="n"/>
      <c r="H200" s="106" t="n"/>
      <c r="I200" s="42">
        <f> IF(AND(tracking[[#This Row],[Type]]="Income", shift_late_income_status="Active", DAY(tracking[[#This Row],[Date]])&gt;=shift_late_income_starting_day), DATE(YEAR(tracking[[#This Row],[Date]]), MONTH(tracking[[#This Row],[Date]])+1, 1), tracking[[#This Row],[Date]])</f>
        <v/>
      </c>
      <c r="N200" s="7" t="n"/>
      <c r="O200" s="109" t="n"/>
      <c r="P200" s="109" t="n"/>
      <c r="Q200" s="109" t="n"/>
      <c r="R200" s="109" t="n"/>
      <c r="S200" s="109" t="n"/>
      <c r="T200" s="109" t="n"/>
      <c r="U200" s="109" t="n"/>
    </row>
    <row r="201">
      <c r="C201" s="38" t="n"/>
      <c r="D201" s="16" t="n"/>
      <c r="E201" s="16" t="n"/>
      <c r="F201" s="106" t="n"/>
      <c r="G201" s="20" t="n"/>
      <c r="H201" s="106" t="n"/>
      <c r="I201" s="42">
        <f> IF(AND(tracking[[#This Row],[Type]]="Income", shift_late_income_status="Active", DAY(tracking[[#This Row],[Date]])&gt;=shift_late_income_starting_day), DATE(YEAR(tracking[[#This Row],[Date]]), MONTH(tracking[[#This Row],[Date]])+1, 1), tracking[[#This Row],[Date]])</f>
        <v/>
      </c>
      <c r="O201" s="109" t="n"/>
      <c r="P201" s="109" t="n"/>
      <c r="Q201" s="109" t="n"/>
      <c r="R201" s="109" t="n"/>
      <c r="S201" s="109" t="n"/>
      <c r="T201" s="109" t="n"/>
      <c r="U201" s="109" t="n"/>
    </row>
    <row r="202">
      <c r="C202" s="38" t="n"/>
      <c r="D202" s="16" t="n"/>
      <c r="E202" s="16" t="n"/>
      <c r="F202" s="106" t="n"/>
      <c r="G202" s="20" t="n"/>
      <c r="H202" s="106" t="n"/>
      <c r="I202" s="42">
        <f> IF(AND(tracking[[#This Row],[Type]]="Income", shift_late_income_status="Active", DAY(tracking[[#This Row],[Date]])&gt;=shift_late_income_starting_day), DATE(YEAR(tracking[[#This Row],[Date]]), MONTH(tracking[[#This Row],[Date]])+1, 1), tracking[[#This Row],[Date]])</f>
        <v/>
      </c>
      <c r="O202" s="109" t="n"/>
      <c r="P202" s="109" t="n"/>
      <c r="Q202" s="109" t="n"/>
      <c r="R202" s="109" t="n"/>
      <c r="S202" s="109" t="n"/>
      <c r="T202" s="109" t="n"/>
      <c r="U202" s="109" t="n"/>
    </row>
    <row r="203">
      <c r="C203" s="38" t="n"/>
      <c r="D203" s="16" t="n"/>
      <c r="E203" s="16" t="n"/>
      <c r="F203" s="106" t="n"/>
      <c r="G203" s="20" t="n"/>
      <c r="H203" s="106" t="n"/>
      <c r="I203" s="42">
        <f> IF(AND(tracking[[#This Row],[Type]]="Income", shift_late_income_status="Active", DAY(tracking[[#This Row],[Date]])&gt;=shift_late_income_starting_day), DATE(YEAR(tracking[[#This Row],[Date]]), MONTH(tracking[[#This Row],[Date]])+1, 1), tracking[[#This Row],[Date]])</f>
        <v/>
      </c>
      <c r="O203" s="109" t="n"/>
      <c r="P203" s="109" t="n"/>
      <c r="Q203" s="109" t="n"/>
      <c r="R203" s="109" t="n"/>
      <c r="S203" s="109" t="n"/>
      <c r="T203" s="109" t="n"/>
      <c r="U203" s="109" t="n"/>
    </row>
    <row r="204">
      <c r="C204" s="38" t="n"/>
      <c r="D204" s="16" t="n"/>
      <c r="E204" s="16" t="n"/>
      <c r="F204" s="106" t="n"/>
      <c r="G204" s="20" t="n"/>
      <c r="H204" s="106" t="n"/>
      <c r="I204" s="42">
        <f> IF(AND(tracking[[#This Row],[Type]]="Income", shift_late_income_status="Active", DAY(tracking[[#This Row],[Date]])&gt;=shift_late_income_starting_day), DATE(YEAR(tracking[[#This Row],[Date]]), MONTH(tracking[[#This Row],[Date]])+1, 1), tracking[[#This Row],[Date]])</f>
        <v/>
      </c>
      <c r="O204" s="109" t="n"/>
      <c r="P204" s="109" t="n"/>
      <c r="Q204" s="109" t="n"/>
      <c r="R204" s="109" t="n"/>
      <c r="S204" s="109" t="n"/>
      <c r="T204" s="109" t="n"/>
      <c r="U204" s="109" t="n"/>
    </row>
    <row r="205">
      <c r="C205" s="38" t="n"/>
      <c r="D205" s="16" t="n"/>
      <c r="E205" s="16" t="n"/>
      <c r="F205" s="106" t="n"/>
      <c r="G205" s="20" t="n"/>
      <c r="H205" s="100" t="n"/>
      <c r="I205" s="42">
        <f> IF(AND(tracking[[#This Row],[Type]]="Income", shift_late_income_status="Active", DAY(tracking[[#This Row],[Date]])&gt;=shift_late_income_starting_day), DATE(YEAR(tracking[[#This Row],[Date]]), MONTH(tracking[[#This Row],[Date]])+1, 1), tracking[[#This Row],[Date]])</f>
        <v/>
      </c>
      <c r="O205" s="109" t="n"/>
      <c r="P205" s="109" t="n"/>
      <c r="Q205" s="109" t="n"/>
      <c r="R205" s="109" t="n"/>
      <c r="S205" s="109" t="n"/>
      <c r="T205" s="109" t="n"/>
      <c r="U205" s="109" t="n"/>
    </row>
    <row r="206">
      <c r="C206" s="38" t="n"/>
      <c r="D206" s="16" t="n"/>
      <c r="E206" s="16" t="n"/>
      <c r="F206" s="106" t="n"/>
      <c r="G206" s="20" t="n"/>
      <c r="H206" s="106" t="n"/>
      <c r="I206" s="42">
        <f> IF(AND(tracking[[#This Row],[Type]]="Income", shift_late_income_status="Active", DAY(tracking[[#This Row],[Date]])&gt;=shift_late_income_starting_day), DATE(YEAR(tracking[[#This Row],[Date]]), MONTH(tracking[[#This Row],[Date]])+1, 1), tracking[[#This Row],[Date]])</f>
        <v/>
      </c>
      <c r="O206" s="109" t="n"/>
      <c r="P206" s="109" t="n"/>
      <c r="Q206" s="109" t="n"/>
      <c r="R206" s="109" t="n"/>
      <c r="S206" s="109" t="n"/>
      <c r="T206" s="109" t="n"/>
      <c r="U206" s="109" t="n"/>
    </row>
    <row r="207">
      <c r="C207" s="38" t="n"/>
      <c r="D207" s="16" t="n"/>
      <c r="E207" s="16" t="n"/>
      <c r="F207" s="106" t="n"/>
      <c r="G207" s="20" t="n"/>
      <c r="H207" s="106" t="n"/>
      <c r="I207" s="42">
        <f> IF(AND(tracking[[#This Row],[Type]]="Income", shift_late_income_status="Active", DAY(tracking[[#This Row],[Date]])&gt;=shift_late_income_starting_day), DATE(YEAR(tracking[[#This Row],[Date]]), MONTH(tracking[[#This Row],[Date]])+1, 1), tracking[[#This Row],[Date]])</f>
        <v/>
      </c>
      <c r="O207" s="109" t="n"/>
      <c r="P207" s="109" t="n"/>
      <c r="Q207" s="109" t="n"/>
      <c r="R207" s="109" t="n"/>
      <c r="S207" s="109" t="n"/>
      <c r="T207" s="109" t="n"/>
      <c r="U207" s="109" t="n"/>
    </row>
    <row r="208">
      <c r="C208" s="38" t="n"/>
      <c r="D208" s="16" t="n"/>
      <c r="E208" s="16" t="n"/>
      <c r="F208" s="106" t="n"/>
      <c r="G208" s="20" t="n"/>
      <c r="H208" s="106" t="n"/>
      <c r="I208" s="42">
        <f> IF(AND(tracking[[#This Row],[Type]]="Income", shift_late_income_status="Active", DAY(tracking[[#This Row],[Date]])&gt;=shift_late_income_starting_day), DATE(YEAR(tracking[[#This Row],[Date]]), MONTH(tracking[[#This Row],[Date]])+1, 1), tracking[[#This Row],[Date]])</f>
        <v/>
      </c>
      <c r="O208" s="109" t="n"/>
      <c r="P208" s="109" t="n"/>
      <c r="Q208" s="109" t="n"/>
      <c r="R208" s="109" t="n"/>
      <c r="S208" s="109" t="n"/>
      <c r="T208" s="109" t="n"/>
      <c r="U208" s="109" t="n"/>
    </row>
    <row r="209">
      <c r="C209" s="38" t="n"/>
      <c r="D209" s="16" t="n"/>
      <c r="E209" s="16" t="n"/>
      <c r="F209" s="106" t="n"/>
      <c r="G209" s="20" t="n"/>
      <c r="H209" s="106" t="n"/>
      <c r="I209" s="42">
        <f> IF(AND(tracking[[#This Row],[Type]]="Income", shift_late_income_status="Active", DAY(tracking[[#This Row],[Date]])&gt;=shift_late_income_starting_day), DATE(YEAR(tracking[[#This Row],[Date]]), MONTH(tracking[[#This Row],[Date]])+1, 1), tracking[[#This Row],[Date]])</f>
        <v/>
      </c>
      <c r="O209" s="109" t="n"/>
      <c r="P209" s="109" t="n"/>
      <c r="Q209" s="109" t="n"/>
      <c r="R209" s="109" t="n"/>
      <c r="S209" s="109" t="n"/>
      <c r="T209" s="109" t="n"/>
      <c r="U209" s="109" t="n"/>
    </row>
    <row r="210">
      <c r="C210" s="38" t="n"/>
      <c r="D210" s="16" t="n"/>
      <c r="E210" s="16" t="n"/>
      <c r="F210" s="106" t="n"/>
      <c r="G210" s="20" t="n"/>
      <c r="H210" s="106" t="n"/>
      <c r="I210" s="42">
        <f> IF(AND(tracking[[#This Row],[Type]]="Income", shift_late_income_status="Active", DAY(tracking[[#This Row],[Date]])&gt;=shift_late_income_starting_day), DATE(YEAR(tracking[[#This Row],[Date]]), MONTH(tracking[[#This Row],[Date]])+1, 1), tracking[[#This Row],[Date]])</f>
        <v/>
      </c>
      <c r="N210" s="7" t="n"/>
      <c r="O210" s="109" t="n"/>
      <c r="P210" s="109" t="n"/>
      <c r="Q210" s="109" t="n"/>
      <c r="R210" s="109" t="n"/>
      <c r="S210" s="109" t="n"/>
      <c r="T210" s="109" t="n"/>
      <c r="U210" s="109" t="n"/>
    </row>
    <row r="211">
      <c r="C211" s="38" t="n"/>
      <c r="D211" s="16" t="n"/>
      <c r="E211" s="16" t="n"/>
      <c r="F211" s="106" t="n"/>
      <c r="G211" s="20" t="n"/>
      <c r="H211" s="106" t="n"/>
      <c r="I211" s="42">
        <f> IF(AND(tracking[[#This Row],[Type]]="Income", shift_late_income_status="Active", DAY(tracking[[#This Row],[Date]])&gt;=shift_late_income_starting_day), DATE(YEAR(tracking[[#This Row],[Date]]), MONTH(tracking[[#This Row],[Date]])+1, 1), tracking[[#This Row],[Date]])</f>
        <v/>
      </c>
      <c r="O211" s="109" t="n"/>
      <c r="P211" s="109" t="n"/>
      <c r="Q211" s="109" t="n"/>
      <c r="R211" s="109" t="n"/>
      <c r="S211" s="109" t="n"/>
      <c r="T211" s="109" t="n"/>
      <c r="U211" s="109" t="n"/>
    </row>
    <row r="212">
      <c r="C212" s="38" t="n"/>
      <c r="D212" s="16" t="n"/>
      <c r="E212" s="16" t="n"/>
      <c r="F212" s="106" t="n"/>
      <c r="G212" s="20" t="n"/>
      <c r="H212" s="106" t="n"/>
      <c r="I212" s="42">
        <f> IF(AND(tracking[[#This Row],[Type]]="Income", shift_late_income_status="Active", DAY(tracking[[#This Row],[Date]])&gt;=shift_late_income_starting_day), DATE(YEAR(tracking[[#This Row],[Date]]), MONTH(tracking[[#This Row],[Date]])+1, 1), tracking[[#This Row],[Date]])</f>
        <v/>
      </c>
      <c r="O212" s="109" t="n"/>
      <c r="P212" s="109" t="n"/>
      <c r="Q212" s="109" t="n"/>
      <c r="R212" s="109" t="n"/>
      <c r="S212" s="109" t="n"/>
      <c r="T212" s="109" t="n"/>
      <c r="U212" s="109" t="n"/>
    </row>
    <row r="213">
      <c r="C213" s="38" t="n"/>
      <c r="D213" s="16" t="n"/>
      <c r="E213" s="16" t="n"/>
      <c r="F213" s="106" t="n"/>
      <c r="G213" s="20" t="n"/>
      <c r="H213" s="106" t="n"/>
      <c r="I213" s="42">
        <f> IF(AND(tracking[[#This Row],[Type]]="Income", shift_late_income_status="Active", DAY(tracking[[#This Row],[Date]])&gt;=shift_late_income_starting_day), DATE(YEAR(tracking[[#This Row],[Date]]), MONTH(tracking[[#This Row],[Date]])+1, 1), tracking[[#This Row],[Date]])</f>
        <v/>
      </c>
      <c r="N213" s="110" t="n"/>
      <c r="O213" s="109" t="n"/>
      <c r="P213" s="109" t="n"/>
      <c r="Q213" s="109" t="n"/>
      <c r="R213" s="109" t="n"/>
      <c r="S213" s="109" t="n"/>
      <c r="T213" s="109" t="n"/>
      <c r="U213" s="109" t="n"/>
    </row>
    <row r="214">
      <c r="C214" s="38" t="n"/>
      <c r="D214" s="16" t="n"/>
      <c r="E214" s="16" t="n"/>
      <c r="F214" s="106" t="n"/>
      <c r="G214" s="20" t="n"/>
      <c r="H214" s="106" t="n"/>
      <c r="I214" s="42">
        <f> IF(AND(tracking[[#This Row],[Type]]="Income", shift_late_income_status="Active", DAY(tracking[[#This Row],[Date]])&gt;=shift_late_income_starting_day), DATE(YEAR(tracking[[#This Row],[Date]]), MONTH(tracking[[#This Row],[Date]])+1, 1), tracking[[#This Row],[Date]])</f>
        <v/>
      </c>
      <c r="N214" s="7" t="n"/>
      <c r="O214" s="109" t="n"/>
      <c r="P214" s="109" t="n"/>
      <c r="Q214" s="109" t="n"/>
      <c r="R214" s="109" t="n"/>
      <c r="S214" s="109" t="n"/>
      <c r="T214" s="109" t="n"/>
      <c r="U214" s="109" t="n"/>
    </row>
    <row r="215">
      <c r="C215" s="38" t="n"/>
      <c r="D215" s="16" t="n"/>
      <c r="E215" s="16" t="n"/>
      <c r="F215" s="106" t="n"/>
      <c r="G215" s="20" t="n"/>
      <c r="H215" s="106" t="n"/>
      <c r="I215" s="42">
        <f> IF(AND(tracking[[#This Row],[Type]]="Income", shift_late_income_status="Active", DAY(tracking[[#This Row],[Date]])&gt;=shift_late_income_starting_day), DATE(YEAR(tracking[[#This Row],[Date]]), MONTH(tracking[[#This Row],[Date]])+1, 1), tracking[[#This Row],[Date]])</f>
        <v/>
      </c>
      <c r="N215" s="7" t="n"/>
      <c r="O215" s="109" t="n"/>
      <c r="P215" s="109" t="n"/>
      <c r="Q215" s="109" t="n"/>
      <c r="R215" s="109" t="n"/>
      <c r="S215" s="109" t="n"/>
      <c r="U215" s="109" t="n"/>
    </row>
    <row r="216">
      <c r="C216" s="38" t="n"/>
      <c r="D216" s="16" t="n"/>
      <c r="E216" s="16" t="n"/>
      <c r="F216" s="106" t="n"/>
      <c r="G216" s="20" t="n"/>
      <c r="H216" s="106" t="n"/>
      <c r="I216" s="42">
        <f> IF(AND(tracking[[#This Row],[Type]]="Income", shift_late_income_status="Active", DAY(tracking[[#This Row],[Date]])&gt;=shift_late_income_starting_day), DATE(YEAR(tracking[[#This Row],[Date]]), MONTH(tracking[[#This Row],[Date]])+1, 1), tracking[[#This Row],[Date]])</f>
        <v/>
      </c>
      <c r="O216" s="109" t="n"/>
      <c r="P216" s="109" t="n"/>
      <c r="Q216" s="109" t="n"/>
      <c r="R216" s="109" t="n"/>
      <c r="S216" s="109" t="n"/>
      <c r="T216" s="109" t="n"/>
      <c r="U216" s="109" t="n"/>
    </row>
    <row r="217">
      <c r="C217" s="38" t="n"/>
      <c r="D217" s="16" t="n"/>
      <c r="E217" s="16" t="n"/>
      <c r="F217" s="106" t="n"/>
      <c r="G217" s="20" t="n"/>
      <c r="H217" s="106" t="n"/>
      <c r="I217" s="42">
        <f> IF(AND(tracking[[#This Row],[Type]]="Income", shift_late_income_status="Active", DAY(tracking[[#This Row],[Date]])&gt;=shift_late_income_starting_day), DATE(YEAR(tracking[[#This Row],[Date]]), MONTH(tracking[[#This Row],[Date]])+1, 1), tracking[[#This Row],[Date]])</f>
        <v/>
      </c>
    </row>
    <row r="218">
      <c r="C218" s="38" t="n"/>
      <c r="D218" s="16" t="n"/>
      <c r="E218" s="16" t="n"/>
      <c r="F218" s="106" t="n"/>
      <c r="G218" s="20" t="n"/>
      <c r="H218" s="106" t="n"/>
      <c r="I218" s="42">
        <f> IF(AND(tracking[[#This Row],[Type]]="Income", shift_late_income_status="Active", DAY(tracking[[#This Row],[Date]])&gt;=shift_late_income_starting_day), DATE(YEAR(tracking[[#This Row],[Date]]), MONTH(tracking[[#This Row],[Date]])+1, 1), tracking[[#This Row],[Date]])</f>
        <v/>
      </c>
      <c r="O218" s="109" t="n"/>
      <c r="P218" s="109" t="n"/>
      <c r="Q218" s="109" t="n"/>
      <c r="R218" s="109" t="n"/>
      <c r="S218" s="109" t="n"/>
      <c r="T218" s="109" t="n"/>
      <c r="U218" s="109" t="n"/>
    </row>
    <row r="219">
      <c r="C219" s="38" t="n"/>
      <c r="D219" s="16" t="n"/>
      <c r="E219" s="16" t="n"/>
      <c r="F219" s="106" t="n"/>
      <c r="G219" s="20" t="n"/>
      <c r="H219" s="106" t="n"/>
      <c r="I219" s="42">
        <f> IF(AND(tracking[[#This Row],[Type]]="Income", shift_late_income_status="Active", DAY(tracking[[#This Row],[Date]])&gt;=shift_late_income_starting_day), DATE(YEAR(tracking[[#This Row],[Date]]), MONTH(tracking[[#This Row],[Date]])+1, 1), tracking[[#This Row],[Date]])</f>
        <v/>
      </c>
    </row>
    <row r="220">
      <c r="C220" s="38" t="n"/>
      <c r="D220" s="16" t="n"/>
      <c r="E220" s="16" t="n"/>
      <c r="F220" s="106" t="n"/>
      <c r="G220" s="20" t="n"/>
      <c r="H220" s="106" t="n"/>
      <c r="I220" s="42">
        <f> IF(AND(tracking[[#This Row],[Type]]="Income", shift_late_income_status="Active", DAY(tracking[[#This Row],[Date]])&gt;=shift_late_income_starting_day), DATE(YEAR(tracking[[#This Row],[Date]]), MONTH(tracking[[#This Row],[Date]])+1, 1), tracking[[#This Row],[Date]])</f>
        <v/>
      </c>
    </row>
    <row r="221">
      <c r="C221" s="38" t="n"/>
      <c r="D221" s="16" t="n"/>
      <c r="E221" s="16" t="n"/>
      <c r="F221" s="106" t="n"/>
      <c r="G221" s="20" t="n"/>
      <c r="H221" s="106" t="n"/>
      <c r="I221" s="42">
        <f> IF(AND(tracking[[#This Row],[Type]]="Income", shift_late_income_status="Active", DAY(tracking[[#This Row],[Date]])&gt;=shift_late_income_starting_day), DATE(YEAR(tracking[[#This Row],[Date]]), MONTH(tracking[[#This Row],[Date]])+1, 1), tracking[[#This Row],[Date]])</f>
        <v/>
      </c>
    </row>
    <row r="222">
      <c r="C222" s="38" t="n"/>
      <c r="D222" s="16" t="n"/>
      <c r="E222" s="16" t="n"/>
      <c r="F222" s="106" t="n"/>
      <c r="G222" s="20" t="n"/>
      <c r="H222" s="106" t="n"/>
      <c r="I222" s="42">
        <f> IF(AND(tracking[[#This Row],[Type]]="Income", shift_late_income_status="Active", DAY(tracking[[#This Row],[Date]])&gt;=shift_late_income_starting_day), DATE(YEAR(tracking[[#This Row],[Date]]), MONTH(tracking[[#This Row],[Date]])+1, 1), tracking[[#This Row],[Date]])</f>
        <v/>
      </c>
    </row>
    <row r="223">
      <c r="C223" s="38" t="n"/>
      <c r="D223" s="16" t="n"/>
      <c r="E223" s="16" t="n"/>
      <c r="F223" s="106" t="n"/>
      <c r="G223" s="20" t="n"/>
      <c r="H223" s="106" t="n"/>
      <c r="I223" s="42">
        <f> IF(AND(tracking[[#This Row],[Type]]="Income", shift_late_income_status="Active", DAY(tracking[[#This Row],[Date]])&gt;=shift_late_income_starting_day), DATE(YEAR(tracking[[#This Row],[Date]]), MONTH(tracking[[#This Row],[Date]])+1, 1), tracking[[#This Row],[Date]])</f>
        <v/>
      </c>
    </row>
    <row r="224">
      <c r="C224" s="38" t="n"/>
      <c r="D224" s="16" t="n"/>
      <c r="E224" s="16" t="n"/>
      <c r="F224" s="106" t="n"/>
      <c r="G224" s="20" t="n"/>
      <c r="H224" s="106" t="n"/>
      <c r="I224" s="42">
        <f> IF(AND(tracking[[#This Row],[Type]]="Income", shift_late_income_status="Active", DAY(tracking[[#This Row],[Date]])&gt;=shift_late_income_starting_day), DATE(YEAR(tracking[[#This Row],[Date]]), MONTH(tracking[[#This Row],[Date]])+1, 1), tracking[[#This Row],[Date]])</f>
        <v/>
      </c>
    </row>
    <row r="225">
      <c r="C225" s="38" t="n"/>
      <c r="D225" s="16" t="n"/>
      <c r="E225" s="16" t="n"/>
      <c r="F225" s="106" t="n"/>
      <c r="G225" s="20" t="n"/>
      <c r="H225" s="106" t="n"/>
      <c r="I225" s="42">
        <f> IF(AND(tracking[[#This Row],[Type]]="Income", shift_late_income_status="Active", DAY(tracking[[#This Row],[Date]])&gt;=shift_late_income_starting_day), DATE(YEAR(tracking[[#This Row],[Date]]), MONTH(tracking[[#This Row],[Date]])+1, 1), tracking[[#This Row],[Date]])</f>
        <v/>
      </c>
    </row>
    <row r="226">
      <c r="C226" s="38" t="n"/>
      <c r="D226" s="16" t="n"/>
      <c r="E226" s="16" t="n"/>
      <c r="F226" s="106" t="n"/>
      <c r="G226" s="20" t="n"/>
      <c r="H226" s="106" t="n"/>
      <c r="I226" s="42">
        <f> IF(AND(tracking[[#This Row],[Type]]="Income", shift_late_income_status="Active", DAY(tracking[[#This Row],[Date]])&gt;=shift_late_income_starting_day), DATE(YEAR(tracking[[#This Row],[Date]]), MONTH(tracking[[#This Row],[Date]])+1, 1), tracking[[#This Row],[Date]])</f>
        <v/>
      </c>
    </row>
  </sheetData>
  <mergeCells count="1">
    <mergeCell ref="B1:F3"/>
  </mergeCells>
  <conditionalFormatting sqref="E12:E226">
    <cfRule type="expression" priority="2" dxfId="31">
      <formula>ISNA(MATCH(E12, INDIRECT(D12), 0))</formula>
    </cfRule>
  </conditionalFormatting>
  <conditionalFormatting sqref="F12:F226">
    <cfRule type="expression" priority="1" dxfId="30">
      <formula>D12="Income"</formula>
    </cfRule>
  </conditionalFormatting>
  <conditionalFormatting sqref="I12:I226">
    <cfRule type="expression" priority="5" dxfId="29">
      <formula> AND(D12="Income", shift_late_income_status="Active", DAY(C12)&gt;=shift_late_income_starting_day)</formula>
    </cfRule>
  </conditionalFormatting>
  <dataValidations count="4">
    <dataValidation sqref="C12:C226" showDropDown="0" showInputMessage="1" showErrorMessage="1" allowBlank="1" errorTitle="Invalid Date" error="Please enter a valid date_x000a_" type="date" operator="greaterThan">
      <formula1>32874</formula1>
    </dataValidation>
    <dataValidation sqref="D12:D226" showDropDown="0" showInputMessage="1" showErrorMessage="1" allowBlank="1" errorTitle="Invalid Type" error="Please select a valid type from the dropdown list_x000a_" type="list">
      <formula1>"Income, Expenses, Savings"</formula1>
    </dataValidation>
    <dataValidation sqref="E12:E226" showDropDown="0" showInputMessage="1" showErrorMessage="1" allowBlank="1" errorTitle="Invalid Category" error="Please select a valid category from the dropdown list" type="list">
      <formula1>INDIRECT(D12)</formula1>
    </dataValidation>
    <dataValidation sqref="F12:F226" showDropDown="0" showInputMessage="1" showErrorMessage="1" allowBlank="1" errorTitle="Invalid Amount" error="Please enter a valid amount_x000a_" type="custom">
      <formula1>ISNUMBER(F12)</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R53"/>
  <sheetViews>
    <sheetView showGridLines="0" zoomScale="85" zoomScaleNormal="72" workbookViewId="0">
      <selection activeCell="AG50" sqref="AG50"/>
    </sheetView>
  </sheetViews>
  <sheetFormatPr baseColWidth="10" defaultColWidth="10.83203125" defaultRowHeight="16"/>
  <cols>
    <col width="6.1640625" customWidth="1" min="1" max="1"/>
    <col width="3.83203125" customWidth="1" min="2" max="2"/>
    <col hidden="1" width="10.83203125" customWidth="1" min="3" max="8"/>
    <col hidden="1" width="14.33203125" customWidth="1" min="9" max="9"/>
    <col hidden="1" width="18.83203125" customWidth="1" min="10" max="10"/>
    <col hidden="1" width="10.83203125" customWidth="1" min="11" max="14"/>
    <col hidden="1" width="11.6640625" customWidth="1" min="15" max="15"/>
    <col hidden="1" width="10.83203125" customWidth="1" min="16" max="16"/>
    <col hidden="1" width="11.6640625" customWidth="1" min="17" max="17"/>
    <col hidden="1" width="10.83203125" customWidth="1" min="18" max="18"/>
    <col hidden="1" width="17" customWidth="1" min="19" max="23"/>
    <col hidden="1" width="45.33203125" customWidth="1" min="24" max="24"/>
    <col width="26.6640625" customWidth="1" min="25" max="25"/>
    <col width="10.83203125" customWidth="1" min="26" max="28"/>
    <col width="13.33203125" customWidth="1" min="29" max="29"/>
    <col width="10.83203125" customWidth="1" min="30" max="30"/>
    <col width="6.33203125" customWidth="1" min="31" max="31"/>
    <col width="16.33203125" customWidth="1" min="32" max="33"/>
    <col width="2" customWidth="1" min="34" max="34"/>
    <col width="18.1640625" customWidth="1" min="35" max="35"/>
    <col width="10.6640625" customWidth="1" min="36" max="36"/>
    <col width="4" customWidth="1" min="37" max="37"/>
    <col width="3.6640625" customWidth="1" min="38" max="38"/>
    <col width="16.33203125" customWidth="1" min="39" max="40"/>
    <col width="2" customWidth="1" min="41" max="41"/>
    <col width="18.1640625" customWidth="1" min="42" max="42"/>
    <col width="10.6640625" customWidth="1" min="43" max="43"/>
    <col width="4" customWidth="1" min="44" max="44"/>
  </cols>
  <sheetData>
    <row r="1" ht="16" customFormat="1" customHeight="1" s="13">
      <c r="A1" s="43" t="n"/>
      <c r="B1" s="120" t="n"/>
    </row>
    <row r="2" customFormat="1" s="13"/>
    <row r="3" customFormat="1" s="13">
      <c r="Y3" s="13" t="inlineStr">
        <is>
          <t>‚</t>
        </is>
      </c>
    </row>
    <row r="5">
      <c r="AQ5" s="32" t="inlineStr">
        <is>
          <t>Year</t>
        </is>
      </c>
      <c r="AR5" s="136" t="n"/>
    </row>
    <row r="6">
      <c r="AF6" s="61" t="n"/>
      <c r="AN6" s="124" t="inlineStr">
        <is>
          <t>Select the year to view →</t>
        </is>
      </c>
      <c r="AQ6" s="128" t="n">
        <v>2025</v>
      </c>
      <c r="AR6" s="89" t="n"/>
    </row>
    <row r="7">
      <c r="AI7" s="61" t="n"/>
    </row>
    <row r="8">
      <c r="K8" s="61" t="n"/>
      <c r="AQ8" s="32" t="inlineStr">
        <is>
          <t>Period</t>
        </is>
      </c>
      <c r="AR8" s="136" t="n"/>
    </row>
    <row r="9">
      <c r="AN9" s="124" t="inlineStr">
        <is>
          <t>Select the period to view →</t>
        </is>
      </c>
      <c r="AQ9" s="126" t="inlineStr">
        <is>
          <t>Current Month</t>
        </is>
      </c>
      <c r="AR9" s="89" t="n"/>
    </row>
    <row r="11">
      <c r="C11" s="13" t="n"/>
      <c r="D11" s="13" t="n"/>
      <c r="E11" s="13" t="n"/>
      <c r="F11" s="13" t="n"/>
      <c r="G11" s="13" t="n"/>
      <c r="H11" s="13" t="n"/>
      <c r="I11" s="13" t="n"/>
      <c r="J11" s="13" t="n"/>
      <c r="K11" s="13" t="n"/>
      <c r="L11" s="13" t="n"/>
      <c r="M11" s="13" t="n"/>
      <c r="N11" s="13" t="n"/>
      <c r="O11" s="13" t="n"/>
      <c r="P11" s="13" t="n"/>
      <c r="Q11" s="13" t="n"/>
      <c r="R11" s="13" t="n"/>
      <c r="S11" s="13" t="n"/>
      <c r="T11" s="13" t="n"/>
      <c r="U11" s="13" t="n"/>
      <c r="V11" s="13" t="n"/>
      <c r="W11" s="13" t="n"/>
      <c r="X11" s="13" t="n"/>
      <c r="Y11" s="127">
        <f> "Breakdown - " &amp; IF(selected_period="Total Year", selected_year &amp; " " &amp; "(Total Year)", selected_period_display &amp; " " &amp; selected_year)</f>
        <v/>
      </c>
      <c r="AF11" s="127">
        <f> "Summary - " &amp; IF(selected_period="Total Year", selected_year &amp; " " &amp; "(Total Year)", selected_period_display &amp; " " &amp; selected_year)</f>
        <v/>
      </c>
    </row>
    <row r="12">
      <c r="C12" s="58" t="inlineStr">
        <is>
          <t>row_id</t>
        </is>
      </c>
      <c r="D12" s="59" t="inlineStr">
        <is>
          <t>header_row_id</t>
        </is>
      </c>
      <c r="E12" s="58" t="inlineStr">
        <is>
          <t>is_header</t>
        </is>
      </c>
      <c r="F12" s="57" t="inlineStr">
        <is>
          <t>is_cat</t>
        </is>
      </c>
      <c r="G12" s="57" t="inlineStr">
        <is>
          <t>is_total</t>
        </is>
      </c>
      <c r="H12" s="59" t="inlineStr">
        <is>
          <t>is_empty</t>
        </is>
      </c>
      <c r="I12" s="58" t="inlineStr">
        <is>
          <t>type</t>
        </is>
      </c>
      <c r="J12" s="57" t="inlineStr">
        <is>
          <t>item</t>
        </is>
      </c>
      <c r="K12" s="57" t="inlineStr">
        <is>
          <t>tracked</t>
        </is>
      </c>
      <c r="L12" s="59" t="inlineStr">
        <is>
          <t>budget</t>
        </is>
      </c>
      <c r="M12" s="58" t="inlineStr">
        <is>
          <t>sort_min_row</t>
        </is>
      </c>
      <c r="N12" s="59" t="inlineStr">
        <is>
          <t>sort_max_row</t>
        </is>
      </c>
      <c r="O12" s="58" t="inlineStr">
        <is>
          <t>tracked_range</t>
        </is>
      </c>
      <c r="P12" s="57" t="inlineStr">
        <is>
          <t>tracked_rank</t>
        </is>
      </c>
      <c r="Q12" s="57" t="inlineStr">
        <is>
          <t>budget_range</t>
        </is>
      </c>
      <c r="R12" s="59" t="inlineStr">
        <is>
          <t>budget_rank</t>
        </is>
      </c>
      <c r="S12" s="58" t="inlineStr">
        <is>
          <t>comb_rank</t>
        </is>
      </c>
      <c r="T12" s="57" t="inlineStr">
        <is>
          <t>comb_rank_range</t>
        </is>
      </c>
      <c r="U12" s="57" t="inlineStr">
        <is>
          <t>comb_rank_norm</t>
        </is>
      </c>
      <c r="V12" s="57" t="inlineStr">
        <is>
          <t>comb_rank_norm_run_range</t>
        </is>
      </c>
      <c r="W12" s="59" t="inlineStr">
        <is>
          <t>comb_rank_unique</t>
        </is>
      </c>
      <c r="X12" s="67" t="inlineStr">
        <is>
          <t>sorted_row_id (Lookup)</t>
        </is>
      </c>
    </row>
    <row r="13">
      <c r="C13" s="33">
        <f t="array" ref="C13"> income_header_row</f>
        <v/>
      </c>
      <c r="D13" s="36">
        <f> IF(is_header, row_id,
      IF(NOT(is_empty), D12, -1))</f>
        <v/>
      </c>
      <c r="E13" s="33">
        <f t="array" ref="E13"> OR(row_id=income_header_row, row_id=expenses_header_row, row_id=savings_header_row) * 1</f>
        <v/>
      </c>
      <c r="F13">
        <f> 1 * NOT(OR(is_header, is_total, is_empty))</f>
        <v/>
      </c>
      <c r="G13">
        <f t="array" ref="G13"> OR(row_id=income_total_row, row_id=expenses_total_row, row_id=savings_total_row) * 1</f>
        <v/>
      </c>
      <c r="H13" s="36">
        <f> OR(row_id="/1", row_id="/2", row_id=-1)*1</f>
        <v/>
      </c>
      <c r="I13" s="33">
        <f t="array" ref="I13"> IFERROR(INDEX('Budget Planning'!$C:$C, header_row_id), "")</f>
        <v/>
      </c>
      <c r="J13">
        <f t="array" ref="J13"> IFERROR(INDEX('Budget Planning'!$C:$C, row_id), "")</f>
        <v/>
      </c>
      <c r="K13" s="65">
        <f t="array" ref="K13"> 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3" s="66">
        <f t="array" ref="L13"> IF(OR(is_header, is_empty), "",
         INDEX('Budget Planning'!$E:$EM, row_id,
                  MATCH(IF(selected_period="Total Year", selected_year, DATE(selected_year, selected_period, 1)), 'Budget Planning'!$E$9:$EM$9, 0)))</f>
        <v/>
      </c>
      <c r="M13" s="33">
        <f t="array" ref="M13">IF(is_cat,
        IF(header_row_id=income_header_row, MATCH(income_min_row, $C:$C, 0),
                 IF(header_row_id=expenses_header_row, MATCH(expenses_min_row, $C:$C, 0),
                          IF(header_row_id=savings_header_row, MATCH(savings_min_row, $C:$C, 0), ""))), "")</f>
        <v/>
      </c>
      <c r="N13" s="36">
        <f t="array" ref="N13">IF(is_cat,
        IF(header_row_id=income_header_row, MATCH(income_max_row, $C:$C, 0),
                 IF(header_row_id=expenses_header_row, MATCH(expenses_max_row, $C:$C, 0),
                          IF(header_row_id=savings_header_row, MATCH(savings_max_row, $C:$C, 0), ""))), "")</f>
        <v/>
      </c>
      <c r="O13" s="33">
        <f> IF(is_cat, ADDRESS(sort_min_row, COLUMN(tracked)) &amp; ":" &amp; ADDRESS(sort_max_row, COLUMN(tracked)), "")</f>
        <v/>
      </c>
      <c r="P13">
        <f> IF(is_cat, RANK(tracked, INDIRECT(tracked_range), 0), "")</f>
        <v/>
      </c>
      <c r="Q13">
        <f> IF(is_cat, ADDRESS(sort_min_row, COLUMN(budget)) &amp; ":" &amp; ADDRESS(sort_max_row, COLUMN(budget)), "")</f>
        <v/>
      </c>
      <c r="R13" s="36">
        <f> IF(is_cat, RANK(budget, INDIRECT(budget_range), 0), "")</f>
        <v/>
      </c>
      <c r="S13" s="33">
        <f> IF(is_cat, _xlfn.NUMBERVALUE(tracked_rank &amp; budget_rank), "")</f>
        <v/>
      </c>
      <c r="T13">
        <f> IF(is_cat, ADDRESS(sort_min_row, COLUMN(comb_rank)) &amp; ":" &amp; ADDRESS(sort_max_row, COLUMN(comb_rank)), "")</f>
        <v/>
      </c>
      <c r="U13">
        <f>IF(is_cat, RANK(comb_rank, INDIRECT(comb_rank_range), 1), "")</f>
        <v/>
      </c>
      <c r="V13">
        <f> IF(is_cat, ADDRESS(sort_min_row, COLUMN(comb_rank_norm)) &amp; ":" &amp; ADDRESS(ROW(), COLUMN(comb_rank_norm)), "")</f>
        <v/>
      </c>
      <c r="W13" s="36">
        <f> IF(is_cat, comb_rank_norm + COUNTIF(INDIRECT(comb_rank_norm_run_range), comb_rank_norm)-1, "")</f>
        <v/>
      </c>
      <c r="X13" s="68">
        <f> IF(is_cat, header_row_id + comb_rank_unique, row_id)</f>
        <v/>
      </c>
      <c r="Y13" s="70">
        <f> IF(is_empty, "", INDEX($J:$J, MATCH(row_id, $X:$X, 0)))</f>
        <v/>
      </c>
      <c r="Z13" s="72">
        <f> IF(is_empty, "", IF(is_header, "Tracked", INDEX($K:$K, MATCH(row_id, $X:$X, 0))))</f>
        <v/>
      </c>
      <c r="AA13" s="72">
        <f> IF(is_empty, "", IF(is_header, "Budget", INDEX($L:$L, MATCH(row_id, $X:$X, 0))))</f>
        <v/>
      </c>
      <c r="AB13" s="71">
        <f> IF(is_empty, "", IF(is_header, "% Compl.", IFERROR(out_tracked / out_budget, "-")))</f>
        <v/>
      </c>
      <c r="AC13" s="72">
        <f> IF(is_empty, "", IF(is_header, "Remaining", IF(out_budget - out_tracked &gt; 0, out_budget - out_tracked, 0)))</f>
        <v/>
      </c>
      <c r="AD13" s="72">
        <f> IF(is_empty, "", IF(is_header, "Excess", IF(out_budget - out_tracked &lt; 0, out_tracked - out_budget, 0)))</f>
        <v/>
      </c>
      <c r="AF13" s="88" t="n"/>
      <c r="AG13" s="89" t="n"/>
      <c r="AH13" s="89" t="n"/>
      <c r="AI13" s="89" t="n"/>
      <c r="AJ13" s="89" t="n"/>
      <c r="AK13" s="90" t="n"/>
      <c r="AM13" s="88" t="n"/>
      <c r="AN13" s="89" t="n"/>
      <c r="AO13" s="89" t="n"/>
      <c r="AP13" s="89" t="n"/>
      <c r="AQ13" s="89" t="n"/>
      <c r="AR13" s="90" t="n"/>
    </row>
    <row r="14">
      <c r="C14" s="33">
        <f t="array" ref="C14">IF(C13=-1,-1,
IF(C13&lt;income_max_row,C13+1,
IF(C13=income_max_row,income_total_row,
IF(C13=income_total_row,"/1",
IF(C13="/1",expenses_header_row,
IF(C13&lt;expenses_max_row,C13+1,
IF(C13=expenses_max_row,expenses_total_row,
IF(C13=expenses_total_row, "/2",
IF(C13="/2", savings_header_row,
IF(C13&lt;savings_max_row, C13+1,
IF(C13=savings_max_row, savings_total_row,
-1)))))))))))</f>
        <v/>
      </c>
      <c r="D14" s="36">
        <f> IF(is_header, row_id,
IF(NOT(is_empty), D13, -1))</f>
        <v/>
      </c>
      <c r="E14" s="33">
        <f t="array" ref="E14"> OR(row_id=income_header_row, row_id=expenses_header_row, row_id=savings_header_row) * 1</f>
        <v/>
      </c>
      <c r="F14">
        <f> 1 * NOT(OR(is_header, is_total, is_empty))</f>
        <v/>
      </c>
      <c r="G14">
        <f t="array" ref="G14"> OR(row_id=income_total_row, row_id=expenses_total_row, row_id=savings_total_row) * 1</f>
        <v/>
      </c>
      <c r="H14" s="36">
        <f> OR(row_id="/1", row_id="/2", row_id=-1)*1</f>
        <v/>
      </c>
      <c r="I14" s="33">
        <f t="array" ref="I14"> IFERROR(INDEX('Budget Planning'!$C:$C, header_row_id), "")</f>
        <v/>
      </c>
      <c r="J14">
        <f t="array" ref="J14"> IFERROR(INDEX('Budget Planning'!$C:$C, row_id), "")</f>
        <v/>
      </c>
      <c r="K14" s="65">
        <f t="array" ref="K14"> 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4" s="66">
        <f t="array" ref="L14"> IF(OR(is_header, is_empty), "",
         INDEX('Budget Planning'!$E:$EM, row_id,
                  MATCH(IF(selected_period="Total Year", selected_year, DATE(selected_year, selected_period, 1)), 'Budget Planning'!$E$9:$EM$9, 0)))</f>
        <v/>
      </c>
      <c r="M14" s="33">
        <f t="array" ref="M14">IF(is_cat,
        IF(header_row_id=income_header_row, MATCH(income_min_row, $C:$C, 0),
                 IF(header_row_id=expenses_header_row, MATCH(expenses_min_row, $C:$C, 0),
                          IF(header_row_id=savings_header_row, MATCH(savings_min_row, $C:$C, 0), ""))), "")</f>
        <v/>
      </c>
      <c r="N14" s="36">
        <f t="array" ref="N14">IF(is_cat,
        IF(header_row_id=income_header_row, MATCH(income_max_row, $C:$C, 0),
                 IF(header_row_id=expenses_header_row, MATCH(expenses_max_row, $C:$C, 0),
                          IF(header_row_id=savings_header_row, MATCH(savings_max_row, $C:$C, 0), ""))), "")</f>
        <v/>
      </c>
      <c r="O14" s="33">
        <f> IF(is_cat, ADDRESS(sort_min_row, COLUMN(tracked)) &amp; ":" &amp; ADDRESS(sort_max_row, COLUMN(tracked)), "")</f>
        <v/>
      </c>
      <c r="P14">
        <f> IF(is_cat, RANK(tracked, INDIRECT(tracked_range), 0), "")</f>
        <v/>
      </c>
      <c r="Q14">
        <f> IF(is_cat, ADDRESS(sort_min_row, COLUMN(budget)) &amp; ":" &amp; ADDRESS(sort_max_row, COLUMN(budget)), "")</f>
        <v/>
      </c>
      <c r="R14" s="36">
        <f> IF(is_cat, RANK(budget, INDIRECT(budget_range), 0), "")</f>
        <v/>
      </c>
      <c r="S14" s="33">
        <f> IF(is_cat, _xlfn.NUMBERVALUE(tracked_rank &amp; budget_rank), "")</f>
        <v/>
      </c>
      <c r="T14">
        <f> IF(is_cat, ADDRESS(sort_min_row, COLUMN(comb_rank)) &amp; ":" &amp; ADDRESS(sort_max_row, COLUMN(comb_rank)), "")</f>
        <v/>
      </c>
      <c r="U14">
        <f>IF(is_cat, RANK(comb_rank, INDIRECT(comb_rank_range), 1), "")</f>
        <v/>
      </c>
      <c r="V14">
        <f> IF(is_cat, ADDRESS(sort_min_row, COLUMN(comb_rank_norm)) &amp; ":" &amp; ADDRESS(ROW(), COLUMN(comb_rank_norm)), "")</f>
        <v/>
      </c>
      <c r="W14" s="36">
        <f> IF(is_cat, comb_rank_norm + COUNTIF(INDIRECT(comb_rank_norm_run_range), comb_rank_norm)-1, "")</f>
        <v/>
      </c>
      <c r="X14" s="68">
        <f> IF(is_cat, header_row_id + comb_rank_unique, row_id)</f>
        <v/>
      </c>
      <c r="Y14" s="70">
        <f> IF(is_empty, "", INDEX($J:$J, MATCH(row_id, $X:$X, 0)))</f>
        <v/>
      </c>
      <c r="Z14" s="72">
        <f> IF(is_empty, "", IF(is_header, "Tracked", INDEX($K:$K, MATCH(row_id, $X:$X, 0))))</f>
        <v/>
      </c>
      <c r="AA14" s="72">
        <f> IF(is_empty, "", IF(is_header, "Budget", INDEX($L:$L, MATCH(row_id, $X:$X, 0))))</f>
        <v/>
      </c>
      <c r="AB14" s="71">
        <f> IF(is_empty, "", IF(is_header, "% Compl.", IFERROR(out_tracked / out_budget, "-")))</f>
        <v/>
      </c>
      <c r="AC14" s="72">
        <f> IF(is_empty, "", IF(is_header, "Remaining", IF(out_budget - out_tracked &gt; 0, out_budget - out_tracked, 0)))</f>
        <v/>
      </c>
      <c r="AD14" s="72">
        <f> IF(is_empty, "", IF(is_header, "Excess", IF(out_budget - out_tracked &lt; 0, out_tracked - out_budget, 0)))</f>
        <v/>
      </c>
      <c r="AF14" s="33" t="n"/>
      <c r="AK14" s="36" t="n"/>
      <c r="AM14" s="33" t="n"/>
      <c r="AR14" s="36" t="n"/>
    </row>
    <row r="15">
      <c r="C15" s="33">
        <f t="array" ref="C15">IF(C14=-1,-1,
IF(C14&lt;income_max_row,C14+1,
IF(C14=income_max_row,income_total_row,
IF(C14=income_total_row,"/1",
IF(C14="/1",expenses_header_row,
IF(C14&lt;expenses_max_row,C14+1,
IF(C14=expenses_max_row,expenses_total_row,
IF(C14=expenses_total_row, "/2",
IF(C14="/2", savings_header_row,
IF(C14&lt;savings_max_row, C14+1,
IF(C14=savings_max_row, savings_total_row,
-1)))))))))))</f>
        <v/>
      </c>
      <c r="D15" s="36">
        <f> IF(is_header, row_id,
IF(NOT(is_empty), D14, -1))</f>
        <v/>
      </c>
      <c r="E15" s="33">
        <f t="array" ref="E15"> OR(row_id=income_header_row, row_id=expenses_header_row, row_id=savings_header_row) * 1</f>
        <v/>
      </c>
      <c r="F15">
        <f> 1 * NOT(OR(is_header, is_total, is_empty))</f>
        <v/>
      </c>
      <c r="G15">
        <f t="array" ref="G15"> OR(row_id=income_total_row, row_id=expenses_total_row, row_id=savings_total_row) * 1</f>
        <v/>
      </c>
      <c r="H15" s="36">
        <f> OR(row_id="/1", row_id="/2", row_id=-1)*1</f>
        <v/>
      </c>
      <c r="I15" s="33">
        <f t="array" ref="I15"> IFERROR(INDEX('Budget Planning'!$C:$C, header_row_id), "")</f>
        <v/>
      </c>
      <c r="J15">
        <f t="array" ref="J15"> IFERROR(INDEX('Budget Planning'!$C:$C, row_id), "")</f>
        <v/>
      </c>
      <c r="K15" s="65">
        <f t="array" ref="K15"> 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5" s="66">
        <f t="array" ref="L15"> IF(OR(is_header, is_empty), "",
         INDEX('Budget Planning'!$E:$EM, row_id,
                  MATCH(IF(selected_period="Total Year", selected_year, DATE(selected_year, selected_period, 1)), 'Budget Planning'!$E$9:$EM$9, 0)))</f>
        <v/>
      </c>
      <c r="M15" s="33">
        <f t="array" ref="M15">IF(is_cat,
        IF(header_row_id=income_header_row, MATCH(income_min_row, $C:$C, 0),
                 IF(header_row_id=expenses_header_row, MATCH(expenses_min_row, $C:$C, 0),
                          IF(header_row_id=savings_header_row, MATCH(savings_min_row, $C:$C, 0), ""))), "")</f>
        <v/>
      </c>
      <c r="N15" s="36">
        <f t="array" ref="N15">IF(is_cat,
        IF(header_row_id=income_header_row, MATCH(income_max_row, $C:$C, 0),
                 IF(header_row_id=expenses_header_row, MATCH(expenses_max_row, $C:$C, 0),
                          IF(header_row_id=savings_header_row, MATCH(savings_max_row, $C:$C, 0), ""))), "")</f>
        <v/>
      </c>
      <c r="O15" s="33">
        <f> IF(is_cat, ADDRESS(sort_min_row, COLUMN(tracked)) &amp; ":" &amp; ADDRESS(sort_max_row, COLUMN(tracked)), "")</f>
        <v/>
      </c>
      <c r="P15">
        <f> IF(is_cat, RANK(tracked, INDIRECT(tracked_range), 0), "")</f>
        <v/>
      </c>
      <c r="Q15">
        <f> IF(is_cat, ADDRESS(sort_min_row, COLUMN(budget)) &amp; ":" &amp; ADDRESS(sort_max_row, COLUMN(budget)), "")</f>
        <v/>
      </c>
      <c r="R15" s="36">
        <f> IF(is_cat, RANK(budget, INDIRECT(budget_range), 0), "")</f>
        <v/>
      </c>
      <c r="S15" s="33">
        <f> IF(is_cat, _xlfn.NUMBERVALUE(tracked_rank &amp; budget_rank), "")</f>
        <v/>
      </c>
      <c r="T15">
        <f> IF(is_cat, ADDRESS(sort_min_row, COLUMN(comb_rank)) &amp; ":" &amp; ADDRESS(sort_max_row, COLUMN(comb_rank)), "")</f>
        <v/>
      </c>
      <c r="U15">
        <f>IF(is_cat, RANK(comb_rank, INDIRECT(comb_rank_range), 1), "")</f>
        <v/>
      </c>
      <c r="V15">
        <f> IF(is_cat, ADDRESS(sort_min_row, COLUMN(comb_rank_norm)) &amp; ":" &amp; ADDRESS(ROW(), COLUMN(comb_rank_norm)), "")</f>
        <v/>
      </c>
      <c r="W15" s="36">
        <f> IF(is_cat, comb_rank_norm + COUNTIF(INDIRECT(comb_rank_norm_run_range), comb_rank_norm)-1, "")</f>
        <v/>
      </c>
      <c r="X15" s="68">
        <f> IF(is_cat, header_row_id + comb_rank_unique, row_id)</f>
        <v/>
      </c>
      <c r="Y15" s="70">
        <f> IF(is_empty, "", INDEX($J:$J, MATCH(row_id, $X:$X, 0)))</f>
        <v/>
      </c>
      <c r="Z15" s="72">
        <f> IF(is_empty, "", IF(is_header, "Tracked", INDEX($K:$K, MATCH(row_id, $X:$X, 0))))</f>
        <v/>
      </c>
      <c r="AA15" s="72">
        <f> IF(is_empty, "", IF(is_header, "Budget", INDEX($L:$L, MATCH(row_id, $X:$X, 0))))</f>
        <v/>
      </c>
      <c r="AB15" s="71">
        <f> IF(is_empty, "", IF(is_header, "% Compl.", IFERROR(out_tracked / out_budget, "-")))</f>
        <v/>
      </c>
      <c r="AC15" s="72">
        <f> IF(is_empty, "", IF(is_header, "Remaining", IF(out_budget - out_tracked &gt; 0, out_budget - out_tracked, 0)))</f>
        <v/>
      </c>
      <c r="AD15" s="72">
        <f> IF(is_empty, "", IF(is_header, "Excess", IF(out_budget - out_tracked &lt; 0, out_tracked - out_budget, 0)))</f>
        <v/>
      </c>
      <c r="AF15" s="33" t="n"/>
      <c r="AI15" s="83" t="n"/>
      <c r="AJ15" s="84" t="n"/>
      <c r="AK15" s="36" t="n"/>
      <c r="AM15" s="33" t="n"/>
      <c r="AR15" s="36" t="n"/>
    </row>
    <row r="16">
      <c r="C16" s="33">
        <f t="array" ref="C16">IF(C15=-1,-1,
IF(C15&lt;income_max_row,C15+1,
IF(C15=income_max_row,income_total_row,
IF(C15=income_total_row,"/1",
IF(C15="/1",expenses_header_row,
IF(C15&lt;expenses_max_row,C15+1,
IF(C15=expenses_max_row,expenses_total_row,
IF(C15=expenses_total_row, "/2",
IF(C15="/2", savings_header_row,
IF(C15&lt;savings_max_row, C15+1,
IF(C15=savings_max_row, savings_total_row,
-1)))))))))))</f>
        <v/>
      </c>
      <c r="D16" s="36">
        <f> IF(is_header, row_id,
IF(NOT(is_empty), D15, -1))</f>
        <v/>
      </c>
      <c r="E16" s="33">
        <f t="array" ref="E16"> OR(row_id=income_header_row, row_id=expenses_header_row, row_id=savings_header_row) * 1</f>
        <v/>
      </c>
      <c r="F16">
        <f> 1 * NOT(OR(is_header, is_total, is_empty))</f>
        <v/>
      </c>
      <c r="G16">
        <f t="array" ref="G16"> OR(row_id=income_total_row, row_id=expenses_total_row, row_id=savings_total_row) * 1</f>
        <v/>
      </c>
      <c r="H16" s="36">
        <f> OR(row_id="/1", row_id="/2", row_id=-1)*1</f>
        <v/>
      </c>
      <c r="I16" s="33">
        <f t="array" ref="I16"> IFERROR(INDEX('Budget Planning'!$C:$C, header_row_id), "")</f>
        <v/>
      </c>
      <c r="J16">
        <f t="array" ref="J16"> IFERROR(INDEX('Budget Planning'!$C:$C, row_id), "")</f>
        <v/>
      </c>
      <c r="K16" s="65">
        <f t="array" ref="K16"> 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6" s="66">
        <f t="array" ref="L16"> IF(OR(is_header, is_empty), "",
         INDEX('Budget Planning'!$E:$EM, row_id,
                  MATCH(IF(selected_period="Total Year", selected_year, DATE(selected_year, selected_period, 1)), 'Budget Planning'!$E$9:$EM$9, 0)))</f>
        <v/>
      </c>
      <c r="M16" s="33">
        <f t="array" ref="M16">IF(is_cat,
        IF(header_row_id=income_header_row, MATCH(income_min_row, $C:$C, 0),
                 IF(header_row_id=expenses_header_row, MATCH(expenses_min_row, $C:$C, 0),
                          IF(header_row_id=savings_header_row, MATCH(savings_min_row, $C:$C, 0), ""))), "")</f>
        <v/>
      </c>
      <c r="N16" s="36">
        <f t="array" ref="N16">IF(is_cat,
        IF(header_row_id=income_header_row, MATCH(income_max_row, $C:$C, 0),
                 IF(header_row_id=expenses_header_row, MATCH(expenses_max_row, $C:$C, 0),
                          IF(header_row_id=savings_header_row, MATCH(savings_max_row, $C:$C, 0), ""))), "")</f>
        <v/>
      </c>
      <c r="O16" s="33">
        <f> IF(is_cat, ADDRESS(sort_min_row, COLUMN(tracked)) &amp; ":" &amp; ADDRESS(sort_max_row, COLUMN(tracked)), "")</f>
        <v/>
      </c>
      <c r="P16">
        <f> IF(is_cat, RANK(tracked, INDIRECT(tracked_range), 0), "")</f>
        <v/>
      </c>
      <c r="Q16">
        <f> IF(is_cat, ADDRESS(sort_min_row, COLUMN(budget)) &amp; ":" &amp; ADDRESS(sort_max_row, COLUMN(budget)), "")</f>
        <v/>
      </c>
      <c r="R16" s="36">
        <f> IF(is_cat, RANK(budget, INDIRECT(budget_range), 0), "")</f>
        <v/>
      </c>
      <c r="S16" s="33">
        <f> IF(is_cat, _xlfn.NUMBERVALUE(tracked_rank &amp; budget_rank), "")</f>
        <v/>
      </c>
      <c r="T16">
        <f> IF(is_cat, ADDRESS(sort_min_row, COLUMN(comb_rank)) &amp; ":" &amp; ADDRESS(sort_max_row, COLUMN(comb_rank)), "")</f>
        <v/>
      </c>
      <c r="U16">
        <f>IF(is_cat, RANK(comb_rank, INDIRECT(comb_rank_range), 1), "")</f>
        <v/>
      </c>
      <c r="V16">
        <f> IF(is_cat, ADDRESS(sort_min_row, COLUMN(comb_rank_norm)) &amp; ":" &amp; ADDRESS(ROW(), COLUMN(comb_rank_norm)), "")</f>
        <v/>
      </c>
      <c r="W16" s="36">
        <f> IF(is_cat, comb_rank_norm + COUNTIF(INDIRECT(comb_rank_norm_run_range), comb_rank_norm)-1, "")</f>
        <v/>
      </c>
      <c r="X16" s="68">
        <f> IF(is_cat, header_row_id + comb_rank_unique, row_id)</f>
        <v/>
      </c>
      <c r="Y16" s="70">
        <f> IF(is_empty, "", INDEX($J:$J, MATCH(row_id, $X:$X, 0)))</f>
        <v/>
      </c>
      <c r="Z16" s="72">
        <f> IF(is_empty, "", IF(is_header, "Tracked", INDEX($K:$K, MATCH(row_id, $X:$X, 0))))</f>
        <v/>
      </c>
      <c r="AA16" s="72">
        <f> IF(is_empty, "", IF(is_header, "Budget", INDEX($L:$L, MATCH(row_id, $X:$X, 0))))</f>
        <v/>
      </c>
      <c r="AB16" s="71">
        <f> IF(is_empty, "", IF(is_header, "% Compl.", IFERROR(out_tracked / out_budget, "-")))</f>
        <v/>
      </c>
      <c r="AC16" s="72">
        <f> IF(is_empty, "", IF(is_header, "Remaining", IF(out_budget - out_tracked &gt; 0, out_budget - out_tracked, 0)))</f>
        <v/>
      </c>
      <c r="AD16" s="72">
        <f> IF(is_empty, "", IF(is_header, "Excess", IF(out_budget - out_tracked &lt; 0, out_tracked - out_budget, 0)))</f>
        <v/>
      </c>
      <c r="AF16" s="33" t="n"/>
      <c r="AI16" s="83">
        <f> Calculation!E35</f>
        <v/>
      </c>
      <c r="AJ16" s="86">
        <f> Calculation!F35</f>
        <v/>
      </c>
      <c r="AK16" s="36" t="n"/>
      <c r="AM16" s="33" t="n"/>
      <c r="AR16" s="36" t="n"/>
    </row>
    <row r="17">
      <c r="C17" s="33">
        <f t="array" ref="C17">IF(C16=-1,-1,
IF(C16&lt;income_max_row,C16+1,
IF(C16=income_max_row,income_total_row,
IF(C16=income_total_row,"/1",
IF(C16="/1",expenses_header_row,
IF(C16&lt;expenses_max_row,C16+1,
IF(C16=expenses_max_row,expenses_total_row,
IF(C16=expenses_total_row, "/2",
IF(C16="/2", savings_header_row,
IF(C16&lt;savings_max_row, C16+1,
IF(C16=savings_max_row, savings_total_row,
-1)))))))))))</f>
        <v/>
      </c>
      <c r="D17" s="36">
        <f> IF(is_header, row_id,
IF(NOT(is_empty), D16, -1))</f>
        <v/>
      </c>
      <c r="E17" s="33">
        <f t="array" ref="E17"> OR(row_id=income_header_row, row_id=expenses_header_row, row_id=savings_header_row) * 1</f>
        <v/>
      </c>
      <c r="F17">
        <f> 1 * NOT(OR(is_header, is_total, is_empty))</f>
        <v/>
      </c>
      <c r="G17">
        <f t="array" ref="G17"> OR(row_id=income_total_row, row_id=expenses_total_row, row_id=savings_total_row) * 1</f>
        <v/>
      </c>
      <c r="H17" s="36">
        <f> OR(row_id="/1", row_id="/2", row_id=-1)*1</f>
        <v/>
      </c>
      <c r="I17" s="33">
        <f t="array" ref="I17"> IFERROR(INDEX('Budget Planning'!$C:$C, header_row_id), "")</f>
        <v/>
      </c>
      <c r="J17">
        <f t="array" ref="J17"> IFERROR(INDEX('Budget Planning'!$C:$C, row_id), "")</f>
        <v/>
      </c>
      <c r="K17" s="65">
        <f t="array" ref="K17"> 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7" s="66">
        <f t="array" ref="L17"> IF(OR(is_header, is_empty), "",
         INDEX('Budget Planning'!$E:$EM, row_id,
                  MATCH(IF(selected_period="Total Year", selected_year, DATE(selected_year, selected_period, 1)), 'Budget Planning'!$E$9:$EM$9, 0)))</f>
        <v/>
      </c>
      <c r="M17" s="33">
        <f t="array" ref="M17">IF(is_cat,
        IF(header_row_id=income_header_row, MATCH(income_min_row, $C:$C, 0),
                 IF(header_row_id=expenses_header_row, MATCH(expenses_min_row, $C:$C, 0),
                          IF(header_row_id=savings_header_row, MATCH(savings_min_row, $C:$C, 0), ""))), "")</f>
        <v/>
      </c>
      <c r="N17" s="36">
        <f t="array" ref="N17">IF(is_cat,
        IF(header_row_id=income_header_row, MATCH(income_max_row, $C:$C, 0),
                 IF(header_row_id=expenses_header_row, MATCH(expenses_max_row, $C:$C, 0),
                          IF(header_row_id=savings_header_row, MATCH(savings_max_row, $C:$C, 0), ""))), "")</f>
        <v/>
      </c>
      <c r="O17" s="33">
        <f> IF(is_cat, ADDRESS(sort_min_row, COLUMN(tracked)) &amp; ":" &amp; ADDRESS(sort_max_row, COLUMN(tracked)), "")</f>
        <v/>
      </c>
      <c r="P17">
        <f> IF(is_cat, RANK(tracked, INDIRECT(tracked_range), 0), "")</f>
        <v/>
      </c>
      <c r="Q17">
        <f> IF(is_cat, ADDRESS(sort_min_row, COLUMN(budget)) &amp; ":" &amp; ADDRESS(sort_max_row, COLUMN(budget)), "")</f>
        <v/>
      </c>
      <c r="R17" s="36">
        <f> IF(is_cat, RANK(budget, INDIRECT(budget_range), 0), "")</f>
        <v/>
      </c>
      <c r="S17" s="33">
        <f> IF(is_cat, _xlfn.NUMBERVALUE(tracked_rank &amp; budget_rank), "")</f>
        <v/>
      </c>
      <c r="T17">
        <f> IF(is_cat, ADDRESS(sort_min_row, COLUMN(comb_rank)) &amp; ":" &amp; ADDRESS(sort_max_row, COLUMN(comb_rank)), "")</f>
        <v/>
      </c>
      <c r="U17">
        <f>IF(is_cat, RANK(comb_rank, INDIRECT(comb_rank_range), 1), "")</f>
        <v/>
      </c>
      <c r="V17">
        <f> IF(is_cat, ADDRESS(sort_min_row, COLUMN(comb_rank_norm)) &amp; ":" &amp; ADDRESS(ROW(), COLUMN(comb_rank_norm)), "")</f>
        <v/>
      </c>
      <c r="W17" s="36">
        <f> IF(is_cat, comb_rank_norm + COUNTIF(INDIRECT(comb_rank_norm_run_range), comb_rank_norm)-1, "")</f>
        <v/>
      </c>
      <c r="X17" s="68">
        <f> IF(is_cat, header_row_id + comb_rank_unique, row_id)</f>
        <v/>
      </c>
      <c r="Y17" s="70">
        <f> IF(is_empty, "", INDEX($J:$J, MATCH(row_id, $X:$X, 0)))</f>
        <v/>
      </c>
      <c r="Z17" s="72">
        <f> IF(is_empty, "", IF(is_header, "Tracked", INDEX($K:$K, MATCH(row_id, $X:$X, 0))))</f>
        <v/>
      </c>
      <c r="AA17" s="72">
        <f> IF(is_empty, "", IF(is_header, "Budget", INDEX($L:$L, MATCH(row_id, $X:$X, 0))))</f>
        <v/>
      </c>
      <c r="AB17" s="71">
        <f> IF(is_empty, "", IF(is_header, "% Compl.", IFERROR(out_tracked / out_budget, "-")))</f>
        <v/>
      </c>
      <c r="AC17" s="72">
        <f> IF(is_empty, "", IF(is_header, "Remaining", IF(out_budget - out_tracked &gt; 0, out_budget - out_tracked, 0)))</f>
        <v/>
      </c>
      <c r="AD17" s="72">
        <f> IF(is_empty, "", IF(is_header, "Excess", IF(out_budget - out_tracked &lt; 0, out_tracked - out_budget, 0)))</f>
        <v/>
      </c>
      <c r="AF17" s="33" t="n"/>
      <c r="AI17" s="83">
        <f> Calculation!E36</f>
        <v/>
      </c>
      <c r="AJ17" s="86">
        <f> Calculation!F36</f>
        <v/>
      </c>
      <c r="AK17" s="36" t="n"/>
      <c r="AM17" s="33" t="n"/>
      <c r="AR17" s="36" t="n"/>
    </row>
    <row r="18">
      <c r="C18" s="33">
        <f t="array" ref="C18">IF(C17=-1,-1,
IF(C17&lt;income_max_row,C17+1,
IF(C17=income_max_row,income_total_row,
IF(C17=income_total_row,"/1",
IF(C17="/1",expenses_header_row,
IF(C17&lt;expenses_max_row,C17+1,
IF(C17=expenses_max_row,expenses_total_row,
IF(C17=expenses_total_row, "/2",
IF(C17="/2", savings_header_row,
IF(C17&lt;savings_max_row, C17+1,
IF(C17=savings_max_row, savings_total_row,
-1)))))))))))</f>
        <v/>
      </c>
      <c r="D18" s="36">
        <f> IF(is_header, row_id,
IF(NOT(is_empty), D17, -1))</f>
        <v/>
      </c>
      <c r="E18" s="33">
        <f t="array" ref="E18"> OR(row_id=income_header_row, row_id=expenses_header_row, row_id=savings_header_row) * 1</f>
        <v/>
      </c>
      <c r="F18">
        <f> 1 * NOT(OR(is_header, is_total, is_empty))</f>
        <v/>
      </c>
      <c r="G18">
        <f t="array" ref="G18"> OR(row_id=income_total_row, row_id=expenses_total_row, row_id=savings_total_row) * 1</f>
        <v/>
      </c>
      <c r="H18" s="36">
        <f> OR(row_id="/1", row_id="/2", row_id=-1)*1</f>
        <v/>
      </c>
      <c r="I18" s="33">
        <f t="array" ref="I18"> IFERROR(INDEX('Budget Planning'!$C:$C, header_row_id), "")</f>
        <v/>
      </c>
      <c r="J18">
        <f t="array" ref="J18"> IFERROR(INDEX('Budget Planning'!$C:$C, row_id), "")</f>
        <v/>
      </c>
      <c r="K18" s="65">
        <f t="array" ref="K18"> 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8" s="66">
        <f t="array" ref="L18"> IF(OR(is_header, is_empty), "",
         INDEX('Budget Planning'!$E:$EM, row_id,
                  MATCH(IF(selected_period="Total Year", selected_year, DATE(selected_year, selected_period, 1)), 'Budget Planning'!$E$9:$EM$9, 0)))</f>
        <v/>
      </c>
      <c r="M18" s="33">
        <f t="array" ref="M18">IF(is_cat,
        IF(header_row_id=income_header_row, MATCH(income_min_row, $C:$C, 0),
                 IF(header_row_id=expenses_header_row, MATCH(expenses_min_row, $C:$C, 0),
                          IF(header_row_id=savings_header_row, MATCH(savings_min_row, $C:$C, 0), ""))), "")</f>
        <v/>
      </c>
      <c r="N18" s="36">
        <f t="array" ref="N18">IF(is_cat,
        IF(header_row_id=income_header_row, MATCH(income_max_row, $C:$C, 0),
                 IF(header_row_id=expenses_header_row, MATCH(expenses_max_row, $C:$C, 0),
                          IF(header_row_id=savings_header_row, MATCH(savings_max_row, $C:$C, 0), ""))), "")</f>
        <v/>
      </c>
      <c r="O18" s="33">
        <f> IF(is_cat, ADDRESS(sort_min_row, COLUMN(tracked)) &amp; ":" &amp; ADDRESS(sort_max_row, COLUMN(tracked)), "")</f>
        <v/>
      </c>
      <c r="P18">
        <f> IF(is_cat, RANK(tracked, INDIRECT(tracked_range), 0), "")</f>
        <v/>
      </c>
      <c r="Q18">
        <f> IF(is_cat, ADDRESS(sort_min_row, COLUMN(budget)) &amp; ":" &amp; ADDRESS(sort_max_row, COLUMN(budget)), "")</f>
        <v/>
      </c>
      <c r="R18" s="36">
        <f> IF(is_cat, RANK(budget, INDIRECT(budget_range), 0), "")</f>
        <v/>
      </c>
      <c r="S18" s="33">
        <f> IF(is_cat, _xlfn.NUMBERVALUE(tracked_rank &amp; budget_rank), "")</f>
        <v/>
      </c>
      <c r="T18">
        <f> IF(is_cat, ADDRESS(sort_min_row, COLUMN(comb_rank)) &amp; ":" &amp; ADDRESS(sort_max_row, COLUMN(comb_rank)), "")</f>
        <v/>
      </c>
      <c r="U18">
        <f>IF(is_cat, RANK(comb_rank, INDIRECT(comb_rank_range), 1), "")</f>
        <v/>
      </c>
      <c r="V18">
        <f> IF(is_cat, ADDRESS(sort_min_row, COLUMN(comb_rank_norm)) &amp; ":" &amp; ADDRESS(ROW(), COLUMN(comb_rank_norm)), "")</f>
        <v/>
      </c>
      <c r="W18" s="36">
        <f> IF(is_cat, comb_rank_norm + COUNTIF(INDIRECT(comb_rank_norm_run_range), comb_rank_norm)-1, "")</f>
        <v/>
      </c>
      <c r="X18" s="68">
        <f> IF(is_cat, header_row_id + comb_rank_unique, row_id)</f>
        <v/>
      </c>
      <c r="Y18" s="70">
        <f> IF(is_empty, "", INDEX($J:$J, MATCH(row_id, $X:$X, 0)))</f>
        <v/>
      </c>
      <c r="Z18" s="72">
        <f> IF(is_empty, "", IF(is_header, "Tracked", INDEX($K:$K, MATCH(row_id, $X:$X, 0))))</f>
        <v/>
      </c>
      <c r="AA18" s="72">
        <f> IF(is_empty, "", IF(is_header, "Budget", INDEX($L:$L, MATCH(row_id, $X:$X, 0))))</f>
        <v/>
      </c>
      <c r="AB18" s="71">
        <f> IF(is_empty, "", IF(is_header, "% Compl.", IFERROR(out_tracked / out_budget, "-")))</f>
        <v/>
      </c>
      <c r="AC18" s="72">
        <f> IF(is_empty, "", IF(is_header, "Remaining", IF(out_budget - out_tracked &gt; 0, out_budget - out_tracked, 0)))</f>
        <v/>
      </c>
      <c r="AD18" s="72">
        <f> IF(is_empty, "", IF(is_header, "Excess", IF(out_budget - out_tracked &lt; 0, out_tracked - out_budget, 0)))</f>
        <v/>
      </c>
      <c r="AF18" s="33" t="n"/>
      <c r="AI18" s="83">
        <f> Calculation!E37</f>
        <v/>
      </c>
      <c r="AJ18" s="86">
        <f> Calculation!F37</f>
        <v/>
      </c>
      <c r="AK18" s="36" t="n"/>
      <c r="AM18" s="33" t="n"/>
      <c r="AR18" s="36" t="n"/>
    </row>
    <row r="19">
      <c r="C19" s="33">
        <f t="array" ref="C19">IF(C18=-1,-1,
IF(C18&lt;income_max_row,C18+1,
IF(C18=income_max_row,income_total_row,
IF(C18=income_total_row,"/1",
IF(C18="/1",expenses_header_row,
IF(C18&lt;expenses_max_row,C18+1,
IF(C18=expenses_max_row,expenses_total_row,
IF(C18=expenses_total_row, "/2",
IF(C18="/2", savings_header_row,
IF(C18&lt;savings_max_row, C18+1,
IF(C18=savings_max_row, savings_total_row,
-1)))))))))))</f>
        <v/>
      </c>
      <c r="D19" s="36">
        <f> IF(is_header, row_id,
IF(NOT(is_empty), D18, -1))</f>
        <v/>
      </c>
      <c r="E19" s="33">
        <f t="array" ref="E19"> OR(row_id=income_header_row, row_id=expenses_header_row, row_id=savings_header_row) * 1</f>
        <v/>
      </c>
      <c r="F19">
        <f> 1 * NOT(OR(is_header, is_total, is_empty))</f>
        <v/>
      </c>
      <c r="G19">
        <f t="array" ref="G19"> OR(row_id=income_total_row, row_id=expenses_total_row, row_id=savings_total_row) * 1</f>
        <v/>
      </c>
      <c r="H19" s="36">
        <f> OR(row_id="/1", row_id="/2", row_id=-1)*1</f>
        <v/>
      </c>
      <c r="I19" s="33">
        <f t="array" ref="I19"> IFERROR(INDEX('Budget Planning'!$C:$C, header_row_id), "")</f>
        <v/>
      </c>
      <c r="J19">
        <f t="array" ref="J19"> IFERROR(INDEX('Budget Planning'!$C:$C, row_id), "")</f>
        <v/>
      </c>
      <c r="K19" s="65">
        <f t="array" ref="K19"> 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19" s="66">
        <f t="array" ref="L19"> IF(OR(is_header, is_empty), "",
         INDEX('Budget Planning'!$E:$EM, row_id,
                  MATCH(IF(selected_period="Total Year", selected_year, DATE(selected_year, selected_period, 1)), 'Budget Planning'!$E$9:$EM$9, 0)))</f>
        <v/>
      </c>
      <c r="M19" s="33">
        <f t="array" ref="M19">IF(is_cat,
        IF(header_row_id=income_header_row, MATCH(income_min_row, $C:$C, 0),
                 IF(header_row_id=expenses_header_row, MATCH(expenses_min_row, $C:$C, 0),
                          IF(header_row_id=savings_header_row, MATCH(savings_min_row, $C:$C, 0), ""))), "")</f>
        <v/>
      </c>
      <c r="N19" s="36">
        <f t="array" ref="N19">IF(is_cat,
        IF(header_row_id=income_header_row, MATCH(income_max_row, $C:$C, 0),
                 IF(header_row_id=expenses_header_row, MATCH(expenses_max_row, $C:$C, 0),
                          IF(header_row_id=savings_header_row, MATCH(savings_max_row, $C:$C, 0), ""))), "")</f>
        <v/>
      </c>
      <c r="O19" s="33">
        <f> IF(is_cat, ADDRESS(sort_min_row, COLUMN(tracked)) &amp; ":" &amp; ADDRESS(sort_max_row, COLUMN(tracked)), "")</f>
        <v/>
      </c>
      <c r="P19">
        <f> IF(is_cat, RANK(tracked, INDIRECT(tracked_range), 0), "")</f>
        <v/>
      </c>
      <c r="Q19">
        <f> IF(is_cat, ADDRESS(sort_min_row, COLUMN(budget)) &amp; ":" &amp; ADDRESS(sort_max_row, COLUMN(budget)), "")</f>
        <v/>
      </c>
      <c r="R19" s="36">
        <f> IF(is_cat, RANK(budget, INDIRECT(budget_range), 0), "")</f>
        <v/>
      </c>
      <c r="S19" s="33">
        <f> IF(is_cat, _xlfn.NUMBERVALUE(tracked_rank &amp; budget_rank), "")</f>
        <v/>
      </c>
      <c r="T19">
        <f> IF(is_cat, ADDRESS(sort_min_row, COLUMN(comb_rank)) &amp; ":" &amp; ADDRESS(sort_max_row, COLUMN(comb_rank)), "")</f>
        <v/>
      </c>
      <c r="U19">
        <f>IF(is_cat, RANK(comb_rank, INDIRECT(comb_rank_range), 1), "")</f>
        <v/>
      </c>
      <c r="V19">
        <f> IF(is_cat, ADDRESS(sort_min_row, COLUMN(comb_rank_norm)) &amp; ":" &amp; ADDRESS(ROW(), COLUMN(comb_rank_norm)), "")</f>
        <v/>
      </c>
      <c r="W19" s="36">
        <f> IF(is_cat, comb_rank_norm + COUNTIF(INDIRECT(comb_rank_norm_run_range), comb_rank_norm)-1, "")</f>
        <v/>
      </c>
      <c r="X19" s="68">
        <f> IF(is_cat, header_row_id + comb_rank_unique, row_id)</f>
        <v/>
      </c>
      <c r="Y19" s="70">
        <f> IF(is_empty, "", INDEX($J:$J, MATCH(row_id, $X:$X, 0)))</f>
        <v/>
      </c>
      <c r="Z19" s="72">
        <f> IF(is_empty, "", IF(is_header, "Tracked", INDEX($K:$K, MATCH(row_id, $X:$X, 0))))</f>
        <v/>
      </c>
      <c r="AA19" s="72">
        <f> IF(is_empty, "", IF(is_header, "Budget", INDEX($L:$L, MATCH(row_id, $X:$X, 0))))</f>
        <v/>
      </c>
      <c r="AB19" s="71">
        <f> IF(is_empty, "", IF(is_header, "% Compl.", IFERROR(out_tracked / out_budget, "-")))</f>
        <v/>
      </c>
      <c r="AC19" s="72">
        <f> IF(is_empty, "", IF(is_header, "Remaining", IF(out_budget - out_tracked &gt; 0, out_budget - out_tracked, 0)))</f>
        <v/>
      </c>
      <c r="AD19" s="72">
        <f> IF(is_empty, "", IF(is_header, "Excess", IF(out_budget - out_tracked &lt; 0, out_tracked - out_budget, 0)))</f>
        <v/>
      </c>
      <c r="AF19" s="33" t="n"/>
      <c r="AI19" s="83">
        <f> Calculation!E38</f>
        <v/>
      </c>
      <c r="AJ19" s="86">
        <f> Calculation!F38</f>
        <v/>
      </c>
      <c r="AK19" s="36" t="n"/>
      <c r="AM19" s="33" t="n"/>
      <c r="AR19" s="36" t="n"/>
    </row>
    <row r="20">
      <c r="C20" s="33">
        <f t="array" ref="C20">IF(C19=-1,-1,
IF(C19&lt;income_max_row,C19+1,
IF(C19=income_max_row,income_total_row,
IF(C19=income_total_row,"/1",
IF(C19="/1",expenses_header_row,
IF(C19&lt;expenses_max_row,C19+1,
IF(C19=expenses_max_row,expenses_total_row,
IF(C19=expenses_total_row, "/2",
IF(C19="/2", savings_header_row,
IF(C19&lt;savings_max_row, C19+1,
IF(C19=savings_max_row, savings_total_row,
-1)))))))))))</f>
        <v/>
      </c>
      <c r="D20" s="36">
        <f> IF(is_header, row_id,
IF(NOT(is_empty), D19, -1))</f>
        <v/>
      </c>
      <c r="E20" s="33">
        <f t="array" ref="E20"> OR(row_id=income_header_row, row_id=expenses_header_row, row_id=savings_header_row) * 1</f>
        <v/>
      </c>
      <c r="F20">
        <f> 1 * NOT(OR(is_header, is_total, is_empty))</f>
        <v/>
      </c>
      <c r="G20">
        <f t="array" ref="G20"> OR(row_id=income_total_row, row_id=expenses_total_row, row_id=savings_total_row) * 1</f>
        <v/>
      </c>
      <c r="H20" s="36">
        <f> OR(row_id="/1", row_id="/2", row_id=-1)*1</f>
        <v/>
      </c>
      <c r="I20" s="33">
        <f t="array" ref="I20"> IFERROR(INDEX('Budget Planning'!$C:$C, header_row_id), "")</f>
        <v/>
      </c>
      <c r="J20">
        <f t="array" ref="J20"> IFERROR(INDEX('Budget Planning'!$C:$C, row_id), "")</f>
        <v/>
      </c>
      <c r="K20" s="65">
        <f t="array" ref="K20"> 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20" s="66">
        <f t="array" ref="L20"> IF(OR(is_header, is_empty), "",
         INDEX('Budget Planning'!$E:$EM, row_id,
                  MATCH(IF(selected_period="Total Year", selected_year, DATE(selected_year, selected_period, 1)), 'Budget Planning'!$E$9:$EM$9, 0)))</f>
        <v/>
      </c>
      <c r="M20" s="33">
        <f t="array" ref="M20">IF(is_cat,
        IF(header_row_id=income_header_row, MATCH(income_min_row, $C:$C, 0),
                 IF(header_row_id=expenses_header_row, MATCH(expenses_min_row, $C:$C, 0),
                          IF(header_row_id=savings_header_row, MATCH(savings_min_row, $C:$C, 0), ""))), "")</f>
        <v/>
      </c>
      <c r="N20" s="36">
        <f t="array" ref="N20">IF(is_cat,
        IF(header_row_id=income_header_row, MATCH(income_max_row, $C:$C, 0),
                 IF(header_row_id=expenses_header_row, MATCH(expenses_max_row, $C:$C, 0),
                          IF(header_row_id=savings_header_row, MATCH(savings_max_row, $C:$C, 0), ""))), "")</f>
        <v/>
      </c>
      <c r="O20" s="33">
        <f> IF(is_cat, ADDRESS(sort_min_row, COLUMN(tracked)) &amp; ":" &amp; ADDRESS(sort_max_row, COLUMN(tracked)), "")</f>
        <v/>
      </c>
      <c r="P20">
        <f> IF(is_cat, RANK(tracked, INDIRECT(tracked_range), 0), "")</f>
        <v/>
      </c>
      <c r="Q20">
        <f> IF(is_cat, ADDRESS(sort_min_row, COLUMN(budget)) &amp; ":" &amp; ADDRESS(sort_max_row, COLUMN(budget)), "")</f>
        <v/>
      </c>
      <c r="R20" s="36">
        <f> IF(is_cat, RANK(budget, INDIRECT(budget_range), 0), "")</f>
        <v/>
      </c>
      <c r="S20" s="33">
        <f> IF(is_cat, _xlfn.NUMBERVALUE(tracked_rank &amp; budget_rank), "")</f>
        <v/>
      </c>
      <c r="T20">
        <f> IF(is_cat, ADDRESS(sort_min_row, COLUMN(comb_rank)) &amp; ":" &amp; ADDRESS(sort_max_row, COLUMN(comb_rank)), "")</f>
        <v/>
      </c>
      <c r="U20">
        <f>IF(is_cat, RANK(comb_rank, INDIRECT(comb_rank_range), 1), "")</f>
        <v/>
      </c>
      <c r="V20">
        <f> IF(is_cat, ADDRESS(sort_min_row, COLUMN(comb_rank_norm)) &amp; ":" &amp; ADDRESS(ROW(), COLUMN(comb_rank_norm)), "")</f>
        <v/>
      </c>
      <c r="W20" s="36">
        <f> IF(is_cat, comb_rank_norm + COUNTIF(INDIRECT(comb_rank_norm_run_range), comb_rank_norm)-1, "")</f>
        <v/>
      </c>
      <c r="X20" s="68">
        <f> IF(is_cat, header_row_id + comb_rank_unique, row_id)</f>
        <v/>
      </c>
      <c r="Y20" s="70">
        <f> IF(is_empty, "", INDEX($J:$J, MATCH(row_id, $X:$X, 0)))</f>
        <v/>
      </c>
      <c r="Z20" s="72">
        <f> IF(is_empty, "", IF(is_header, "Tracked", INDEX($K:$K, MATCH(row_id, $X:$X, 0))))</f>
        <v/>
      </c>
      <c r="AA20" s="72">
        <f> IF(is_empty, "", IF(is_header, "Budget", INDEX($L:$L, MATCH(row_id, $X:$X, 0))))</f>
        <v/>
      </c>
      <c r="AB20" s="71">
        <f> IF(is_empty, "", IF(is_header, "% Compl.", IFERROR(out_tracked / out_budget, "-")))</f>
        <v/>
      </c>
      <c r="AC20" s="72">
        <f> IF(is_empty, "", IF(is_header, "Remaining", IF(out_budget - out_tracked &gt; 0, out_budget - out_tracked, 0)))</f>
        <v/>
      </c>
      <c r="AD20" s="72">
        <f> IF(is_empty, "", IF(is_header, "Excess", IF(out_budget - out_tracked &lt; 0, out_tracked - out_budget, 0)))</f>
        <v/>
      </c>
      <c r="AF20" s="33" t="n"/>
      <c r="AI20" s="83">
        <f> Calculation!E39</f>
        <v/>
      </c>
      <c r="AJ20" s="86">
        <f> Calculation!F39</f>
        <v/>
      </c>
      <c r="AK20" s="36" t="n"/>
      <c r="AM20" s="33" t="n"/>
      <c r="AR20" s="36" t="n"/>
    </row>
    <row r="21">
      <c r="C21" s="33">
        <f t="array" ref="C21">IF(C20=-1,-1,
IF(C20&lt;income_max_row,C20+1,
IF(C20=income_max_row,income_total_row,
IF(C20=income_total_row,"/1",
IF(C20="/1",expenses_header_row,
IF(C20&lt;expenses_max_row,C20+1,
IF(C20=expenses_max_row,expenses_total_row,
IF(C20=expenses_total_row, "/2",
IF(C20="/2", savings_header_row,
IF(C20&lt;savings_max_row, C20+1,
IF(C20=savings_max_row, savings_total_row,
-1)))))))))))</f>
        <v/>
      </c>
      <c r="D21" s="36">
        <f> IF(is_header, row_id,
IF(NOT(is_empty), D20, -1))</f>
        <v/>
      </c>
      <c r="E21" s="33">
        <f t="array" ref="E21"> OR(row_id=income_header_row, row_id=expenses_header_row, row_id=savings_header_row) * 1</f>
        <v/>
      </c>
      <c r="F21">
        <f> 1 * NOT(OR(is_header, is_total, is_empty))</f>
        <v/>
      </c>
      <c r="G21">
        <f t="array" ref="G21"> OR(row_id=income_total_row, row_id=expenses_total_row, row_id=savings_total_row) * 1</f>
        <v/>
      </c>
      <c r="H21" s="36">
        <f> OR(row_id="/1", row_id="/2", row_id=-1)*1</f>
        <v/>
      </c>
      <c r="I21" s="33">
        <f t="array" ref="I21"> IFERROR(INDEX('Budget Planning'!$C:$C, header_row_id), "")</f>
        <v/>
      </c>
      <c r="J21">
        <f t="array" ref="J21"> IFERROR(INDEX('Budget Planning'!$C:$C, row_id), "")</f>
        <v/>
      </c>
      <c r="K21" s="65">
        <f t="array" ref="K21"> 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21" s="66">
        <f t="array" ref="L21"> IF(OR(is_header, is_empty), "",
         INDEX('Budget Planning'!$E:$EM, row_id,
                  MATCH(IF(selected_period="Total Year", selected_year, DATE(selected_year, selected_period, 1)), 'Budget Planning'!$E$9:$EM$9, 0)))</f>
        <v/>
      </c>
      <c r="M21" s="33">
        <f t="array" ref="M21">IF(is_cat,
        IF(header_row_id=income_header_row, MATCH(income_min_row, $C:$C, 0),
                 IF(header_row_id=expenses_header_row, MATCH(expenses_min_row, $C:$C, 0),
                          IF(header_row_id=savings_header_row, MATCH(savings_min_row, $C:$C, 0), ""))), "")</f>
        <v/>
      </c>
      <c r="N21" s="36">
        <f t="array" ref="N21">IF(is_cat,
        IF(header_row_id=income_header_row, MATCH(income_max_row, $C:$C, 0),
                 IF(header_row_id=expenses_header_row, MATCH(expenses_max_row, $C:$C, 0),
                          IF(header_row_id=savings_header_row, MATCH(savings_max_row, $C:$C, 0), ""))), "")</f>
        <v/>
      </c>
      <c r="O21" s="33">
        <f> IF(is_cat, ADDRESS(sort_min_row, COLUMN(tracked)) &amp; ":" &amp; ADDRESS(sort_max_row, COLUMN(tracked)), "")</f>
        <v/>
      </c>
      <c r="P21">
        <f> IF(is_cat, RANK(tracked, INDIRECT(tracked_range), 0), "")</f>
        <v/>
      </c>
      <c r="Q21">
        <f> IF(is_cat, ADDRESS(sort_min_row, COLUMN(budget)) &amp; ":" &amp; ADDRESS(sort_max_row, COLUMN(budget)), "")</f>
        <v/>
      </c>
      <c r="R21" s="36">
        <f> IF(is_cat, RANK(budget, INDIRECT(budget_range), 0), "")</f>
        <v/>
      </c>
      <c r="S21" s="33">
        <f> IF(is_cat, _xlfn.NUMBERVALUE(tracked_rank &amp; budget_rank), "")</f>
        <v/>
      </c>
      <c r="T21">
        <f> IF(is_cat, ADDRESS(sort_min_row, COLUMN(comb_rank)) &amp; ":" &amp; ADDRESS(sort_max_row, COLUMN(comb_rank)), "")</f>
        <v/>
      </c>
      <c r="U21">
        <f>IF(is_cat, RANK(comb_rank, INDIRECT(comb_rank_range), 1), "")</f>
        <v/>
      </c>
      <c r="V21">
        <f> IF(is_cat, ADDRESS(sort_min_row, COLUMN(comb_rank_norm)) &amp; ":" &amp; ADDRESS(ROW(), COLUMN(comb_rank_norm)), "")</f>
        <v/>
      </c>
      <c r="W21" s="36">
        <f> IF(is_cat, comb_rank_norm + COUNTIF(INDIRECT(comb_rank_norm_run_range), comb_rank_norm)-1, "")</f>
        <v/>
      </c>
      <c r="X21" s="68">
        <f> IF(is_cat, header_row_id + comb_rank_unique, row_id)</f>
        <v/>
      </c>
      <c r="Y21" s="70">
        <f> IF(is_empty, "", INDEX($J:$J, MATCH(row_id, $X:$X, 0)))</f>
        <v/>
      </c>
      <c r="Z21" s="72">
        <f> IF(is_empty, "", IF(is_header, "Tracked", INDEX($K:$K, MATCH(row_id, $X:$X, 0))))</f>
        <v/>
      </c>
      <c r="AA21" s="72">
        <f> IF(is_empty, "", IF(is_header, "Budget", INDEX($L:$L, MATCH(row_id, $X:$X, 0))))</f>
        <v/>
      </c>
      <c r="AB21" s="71">
        <f> IF(is_empty, "", IF(is_header, "% Compl.", IFERROR(out_tracked / out_budget, "-")))</f>
        <v/>
      </c>
      <c r="AC21" s="72">
        <f> IF(is_empty, "", IF(is_header, "Remaining", IF(out_budget - out_tracked &gt; 0, out_budget - out_tracked, 0)))</f>
        <v/>
      </c>
      <c r="AD21" s="72">
        <f> IF(is_empty, "", IF(is_header, "Excess", IF(out_budget - out_tracked &lt; 0, out_tracked - out_budget, 0)))</f>
        <v/>
      </c>
      <c r="AF21" s="33" t="n"/>
      <c r="AI21" s="83">
        <f> Calculation!E40</f>
        <v/>
      </c>
      <c r="AJ21" s="86">
        <f> Calculation!F40</f>
        <v/>
      </c>
      <c r="AK21" s="36" t="n"/>
      <c r="AM21" s="33" t="n"/>
      <c r="AR21" s="36" t="n"/>
    </row>
    <row r="22">
      <c r="C22" s="33">
        <f t="array" ref="C22">IF(C21=-1,-1,
IF(C21&lt;income_max_row,C21+1,
IF(C21=income_max_row,income_total_row,
IF(C21=income_total_row,"/1",
IF(C21="/1",expenses_header_row,
IF(C21&lt;expenses_max_row,C21+1,
IF(C21=expenses_max_row,expenses_total_row,
IF(C21=expenses_total_row, "/2",
IF(C21="/2", savings_header_row,
IF(C21&lt;savings_max_row, C21+1,
IF(C21=savings_max_row, savings_total_row,
-1)))))))))))</f>
        <v/>
      </c>
      <c r="D22" s="36">
        <f> IF(is_header, row_id,
IF(NOT(is_empty), D21, -1))</f>
        <v/>
      </c>
      <c r="E22" s="33">
        <f t="array" ref="E22"> OR(row_id=income_header_row, row_id=expenses_header_row, row_id=savings_header_row) * 1</f>
        <v/>
      </c>
      <c r="F22">
        <f> 1 * NOT(OR(is_header, is_total, is_empty))</f>
        <v/>
      </c>
      <c r="G22">
        <f t="array" ref="G22"> OR(row_id=income_total_row, row_id=expenses_total_row, row_id=savings_total_row) * 1</f>
        <v/>
      </c>
      <c r="H22" s="36">
        <f> OR(row_id="/1", row_id="/2", row_id=-1)*1</f>
        <v/>
      </c>
      <c r="I22" s="33">
        <f t="array" ref="I22"> IFERROR(INDEX('Budget Planning'!$C:$C, header_row_id), "")</f>
        <v/>
      </c>
      <c r="J22">
        <f t="array" ref="J22"> IFERROR(INDEX('Budget Planning'!$C:$C, row_id), "")</f>
        <v/>
      </c>
      <c r="K22" s="65">
        <f t="array" ref="K22"> 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22" s="66">
        <f t="array" ref="L22"> IF(OR(is_header, is_empty), "",
         INDEX('Budget Planning'!$E:$EM, row_id,
                  MATCH(IF(selected_period="Total Year", selected_year, DATE(selected_year, selected_period, 1)), 'Budget Planning'!$E$9:$EM$9, 0)))</f>
        <v/>
      </c>
      <c r="M22" s="33">
        <f t="array" ref="M22">IF(is_cat,
        IF(header_row_id=income_header_row, MATCH(income_min_row, $C:$C, 0),
                 IF(header_row_id=expenses_header_row, MATCH(expenses_min_row, $C:$C, 0),
                          IF(header_row_id=savings_header_row, MATCH(savings_min_row, $C:$C, 0), ""))), "")</f>
        <v/>
      </c>
      <c r="N22" s="36">
        <f t="array" ref="N22">IF(is_cat,
        IF(header_row_id=income_header_row, MATCH(income_max_row, $C:$C, 0),
                 IF(header_row_id=expenses_header_row, MATCH(expenses_max_row, $C:$C, 0),
                          IF(header_row_id=savings_header_row, MATCH(savings_max_row, $C:$C, 0), ""))), "")</f>
        <v/>
      </c>
      <c r="O22" s="33">
        <f> IF(is_cat, ADDRESS(sort_min_row, COLUMN(tracked)) &amp; ":" &amp; ADDRESS(sort_max_row, COLUMN(tracked)), "")</f>
        <v/>
      </c>
      <c r="P22">
        <f> IF(is_cat, RANK(tracked, INDIRECT(tracked_range), 0), "")</f>
        <v/>
      </c>
      <c r="Q22">
        <f> IF(is_cat, ADDRESS(sort_min_row, COLUMN(budget)) &amp; ":" &amp; ADDRESS(sort_max_row, COLUMN(budget)), "")</f>
        <v/>
      </c>
      <c r="R22" s="36">
        <f> IF(is_cat, RANK(budget, INDIRECT(budget_range), 0), "")</f>
        <v/>
      </c>
      <c r="S22" s="33">
        <f> IF(is_cat, _xlfn.NUMBERVALUE(tracked_rank &amp; budget_rank), "")</f>
        <v/>
      </c>
      <c r="T22">
        <f> IF(is_cat, ADDRESS(sort_min_row, COLUMN(comb_rank)) &amp; ":" &amp; ADDRESS(sort_max_row, COLUMN(comb_rank)), "")</f>
        <v/>
      </c>
      <c r="U22">
        <f>IF(is_cat, RANK(comb_rank, INDIRECT(comb_rank_range), 1), "")</f>
        <v/>
      </c>
      <c r="V22">
        <f> IF(is_cat, ADDRESS(sort_min_row, COLUMN(comb_rank_norm)) &amp; ":" &amp; ADDRESS(ROW(), COLUMN(comb_rank_norm)), "")</f>
        <v/>
      </c>
      <c r="W22" s="36">
        <f> IF(is_cat, comb_rank_norm + COUNTIF(INDIRECT(comb_rank_norm_run_range), comb_rank_norm)-1, "")</f>
        <v/>
      </c>
      <c r="X22" s="68">
        <f> IF(is_cat, header_row_id + comb_rank_unique, row_id)</f>
        <v/>
      </c>
      <c r="Y22" s="70">
        <f> IF(is_empty, "", INDEX($J:$J, MATCH(row_id, $X:$X, 0)))</f>
        <v/>
      </c>
      <c r="Z22" s="72">
        <f> IF(is_empty, "", IF(is_header, "Tracked", INDEX($K:$K, MATCH(row_id, $X:$X, 0))))</f>
        <v/>
      </c>
      <c r="AA22" s="72">
        <f> IF(is_empty, "", IF(is_header, "Budget", INDEX($L:$L, MATCH(row_id, $X:$X, 0))))</f>
        <v/>
      </c>
      <c r="AB22" s="71">
        <f> IF(is_empty, "", IF(is_header, "% Compl.", IFERROR(out_tracked / out_budget, "-")))</f>
        <v/>
      </c>
      <c r="AC22" s="72">
        <f> IF(is_empty, "", IF(is_header, "Remaining", IF(out_budget - out_tracked &gt; 0, out_budget - out_tracked, 0)))</f>
        <v/>
      </c>
      <c r="AD22" s="72">
        <f> IF(is_empty, "", IF(is_header, "Excess", IF(out_budget - out_tracked &lt; 0, out_tracked - out_budget, 0)))</f>
        <v/>
      </c>
      <c r="AF22" s="33" t="n"/>
      <c r="AI22" s="85">
        <f> Calculation!E41</f>
        <v/>
      </c>
      <c r="AJ22" s="87">
        <f> Calculation!F41</f>
        <v/>
      </c>
      <c r="AK22" s="36" t="n"/>
      <c r="AM22" s="33" t="n"/>
      <c r="AR22" s="36" t="n"/>
    </row>
    <row r="23">
      <c r="C23" s="33">
        <f t="array" ref="C23">IF(C22=-1,-1,
IF(C22&lt;income_max_row,C22+1,
IF(C22=income_max_row,income_total_row,
IF(C22=income_total_row,"/1",
IF(C22="/1",expenses_header_row,
IF(C22&lt;expenses_max_row,C22+1,
IF(C22=expenses_max_row,expenses_total_row,
IF(C22=expenses_total_row, "/2",
IF(C22="/2", savings_header_row,
IF(C22&lt;savings_max_row, C22+1,
IF(C22=savings_max_row, savings_total_row,
-1)))))))))))</f>
        <v/>
      </c>
      <c r="D23" s="36">
        <f> IF(is_header, row_id,
IF(NOT(is_empty), D22, -1))</f>
        <v/>
      </c>
      <c r="E23" s="33">
        <f t="array" ref="E23"> OR(row_id=income_header_row, row_id=expenses_header_row, row_id=savings_header_row) * 1</f>
        <v/>
      </c>
      <c r="F23">
        <f> 1 * NOT(OR(is_header, is_total, is_empty))</f>
        <v/>
      </c>
      <c r="G23">
        <f t="array" ref="G23"> OR(row_id=income_total_row, row_id=expenses_total_row, row_id=savings_total_row) * 1</f>
        <v/>
      </c>
      <c r="H23" s="36">
        <f> OR(row_id="/1", row_id="/2", row_id=-1)*1</f>
        <v/>
      </c>
      <c r="I23" s="33">
        <f t="array" ref="I23"> IFERROR(INDEX('Budget Planning'!$C:$C, header_row_id), "")</f>
        <v/>
      </c>
      <c r="J23">
        <f t="array" ref="J23"> IFERROR(INDEX('Budget Planning'!$C:$C, row_id), "")</f>
        <v/>
      </c>
      <c r="K23" s="65">
        <f t="array" ref="K23"> 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23" s="66">
        <f t="array" ref="L23"> IF(OR(is_header, is_empty), "",
         INDEX('Budget Planning'!$E:$EM, row_id,
                  MATCH(IF(selected_period="Total Year", selected_year, DATE(selected_year, selected_period, 1)), 'Budget Planning'!$E$9:$EM$9, 0)))</f>
        <v/>
      </c>
      <c r="M23" s="33">
        <f t="array" ref="M23">IF(is_cat,
        IF(header_row_id=income_header_row, MATCH(income_min_row, $C:$C, 0),
                 IF(header_row_id=expenses_header_row, MATCH(expenses_min_row, $C:$C, 0),
                          IF(header_row_id=savings_header_row, MATCH(savings_min_row, $C:$C, 0), ""))), "")</f>
        <v/>
      </c>
      <c r="N23" s="36">
        <f t="array" ref="N23">IF(is_cat,
        IF(header_row_id=income_header_row, MATCH(income_max_row, $C:$C, 0),
                 IF(header_row_id=expenses_header_row, MATCH(expenses_max_row, $C:$C, 0),
                          IF(header_row_id=savings_header_row, MATCH(savings_max_row, $C:$C, 0), ""))), "")</f>
        <v/>
      </c>
      <c r="O23" s="33">
        <f> IF(is_cat, ADDRESS(sort_min_row, COLUMN(tracked)) &amp; ":" &amp; ADDRESS(sort_max_row, COLUMN(tracked)), "")</f>
        <v/>
      </c>
      <c r="P23">
        <f> IF(is_cat, RANK(tracked, INDIRECT(tracked_range), 0), "")</f>
        <v/>
      </c>
      <c r="Q23">
        <f> IF(is_cat, ADDRESS(sort_min_row, COLUMN(budget)) &amp; ":" &amp; ADDRESS(sort_max_row, COLUMN(budget)), "")</f>
        <v/>
      </c>
      <c r="R23" s="36">
        <f> IF(is_cat, RANK(budget, INDIRECT(budget_range), 0), "")</f>
        <v/>
      </c>
      <c r="S23" s="33">
        <f> IF(is_cat, _xlfn.NUMBERVALUE(tracked_rank &amp; budget_rank), "")</f>
        <v/>
      </c>
      <c r="T23">
        <f> IF(is_cat, ADDRESS(sort_min_row, COLUMN(comb_rank)) &amp; ":" &amp; ADDRESS(sort_max_row, COLUMN(comb_rank)), "")</f>
        <v/>
      </c>
      <c r="U23">
        <f>IF(is_cat, RANK(comb_rank, INDIRECT(comb_rank_range), 1), "")</f>
        <v/>
      </c>
      <c r="V23">
        <f> IF(is_cat, ADDRESS(sort_min_row, COLUMN(comb_rank_norm)) &amp; ":" &amp; ADDRESS(ROW(), COLUMN(comb_rank_norm)), "")</f>
        <v/>
      </c>
      <c r="W23" s="36">
        <f> IF(is_cat, comb_rank_norm + COUNTIF(INDIRECT(comb_rank_norm_run_range), comb_rank_norm)-1, "")</f>
        <v/>
      </c>
      <c r="X23" s="68">
        <f> IF(is_cat, header_row_id + comb_rank_unique, row_id)</f>
        <v/>
      </c>
      <c r="Y23" s="70">
        <f> IF(is_empty, "", INDEX($J:$J, MATCH(row_id, $X:$X, 0)))</f>
        <v/>
      </c>
      <c r="Z23" s="72">
        <f> IF(is_empty, "", IF(is_header, "Tracked", INDEX($K:$K, MATCH(row_id, $X:$X, 0))))</f>
        <v/>
      </c>
      <c r="AA23" s="72">
        <f> IF(is_empty, "", IF(is_header, "Budget", INDEX($L:$L, MATCH(row_id, $X:$X, 0))))</f>
        <v/>
      </c>
      <c r="AB23" s="71">
        <f> IF(is_empty, "", IF(is_header, "% Compl.", IFERROR(out_tracked / out_budget, "-")))</f>
        <v/>
      </c>
      <c r="AC23" s="72">
        <f> IF(is_empty, "", IF(is_header, "Remaining", IF(out_budget - out_tracked &gt; 0, out_budget - out_tracked, 0)))</f>
        <v/>
      </c>
      <c r="AD23" s="72">
        <f> IF(is_empty, "", IF(is_header, "Excess", IF(out_budget - out_tracked &lt; 0, out_tracked - out_budget, 0)))</f>
        <v/>
      </c>
      <c r="AF23" s="33" t="n"/>
      <c r="AK23" s="36" t="n"/>
      <c r="AM23" s="33" t="n"/>
      <c r="AR23" s="36" t="n"/>
    </row>
    <row r="24">
      <c r="C24" s="33">
        <f t="array" ref="C24">IF(C23=-1,-1,
IF(C23&lt;income_max_row,C23+1,
IF(C23=income_max_row,income_total_row,
IF(C23=income_total_row,"/1",
IF(C23="/1",expenses_header_row,
IF(C23&lt;expenses_max_row,C23+1,
IF(C23=expenses_max_row,expenses_total_row,
IF(C23=expenses_total_row, "/2",
IF(C23="/2", savings_header_row,
IF(C23&lt;savings_max_row, C23+1,
IF(C23=savings_max_row, savings_total_row,
-1)))))))))))</f>
        <v/>
      </c>
      <c r="D24" s="36">
        <f> IF(is_header, row_id,
IF(NOT(is_empty), D23, -1))</f>
        <v/>
      </c>
      <c r="E24" s="33">
        <f t="array" ref="E24"> OR(row_id=income_header_row, row_id=expenses_header_row, row_id=savings_header_row) * 1</f>
        <v/>
      </c>
      <c r="F24">
        <f> 1 * NOT(OR(is_header, is_total, is_empty))</f>
        <v/>
      </c>
      <c r="G24">
        <f t="array" ref="G24"> OR(row_id=income_total_row, row_id=expenses_total_row, row_id=savings_total_row) * 1</f>
        <v/>
      </c>
      <c r="H24" s="36">
        <f> OR(row_id="/1", row_id="/2", row_id=-1)*1</f>
        <v/>
      </c>
      <c r="I24" s="33">
        <f t="array" ref="I24"> IFERROR(INDEX('Budget Planning'!$C:$C, header_row_id), "")</f>
        <v/>
      </c>
      <c r="J24">
        <f t="array" ref="J24"> IFERROR(INDEX('Budget Planning'!$C:$C, row_id), "")</f>
        <v/>
      </c>
      <c r="K24" s="65">
        <f t="array" ref="K24"> 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24" s="66">
        <f t="array" ref="L24"> IF(OR(is_header, is_empty), "",
         INDEX('Budget Planning'!$E:$EM, row_id,
                  MATCH(IF(selected_period="Total Year", selected_year, DATE(selected_year, selected_period, 1)), 'Budget Planning'!$E$9:$EM$9, 0)))</f>
        <v/>
      </c>
      <c r="M24" s="33">
        <f t="array" ref="M24">IF(is_cat,
        IF(header_row_id=income_header_row, MATCH(income_min_row, $C:$C, 0),
                 IF(header_row_id=expenses_header_row, MATCH(expenses_min_row, $C:$C, 0),
                          IF(header_row_id=savings_header_row, MATCH(savings_min_row, $C:$C, 0), ""))), "")</f>
        <v/>
      </c>
      <c r="N24" s="36">
        <f t="array" ref="N24">IF(is_cat,
        IF(header_row_id=income_header_row, MATCH(income_max_row, $C:$C, 0),
                 IF(header_row_id=expenses_header_row, MATCH(expenses_max_row, $C:$C, 0),
                          IF(header_row_id=savings_header_row, MATCH(savings_max_row, $C:$C, 0), ""))), "")</f>
        <v/>
      </c>
      <c r="O24" s="33">
        <f> IF(is_cat, ADDRESS(sort_min_row, COLUMN(tracked)) &amp; ":" &amp; ADDRESS(sort_max_row, COLUMN(tracked)), "")</f>
        <v/>
      </c>
      <c r="P24">
        <f> IF(is_cat, RANK(tracked, INDIRECT(tracked_range), 0), "")</f>
        <v/>
      </c>
      <c r="Q24">
        <f> IF(is_cat, ADDRESS(sort_min_row, COLUMN(budget)) &amp; ":" &amp; ADDRESS(sort_max_row, COLUMN(budget)), "")</f>
        <v/>
      </c>
      <c r="R24" s="36">
        <f> IF(is_cat, RANK(budget, INDIRECT(budget_range), 0), "")</f>
        <v/>
      </c>
      <c r="S24" s="33">
        <f> IF(is_cat, _xlfn.NUMBERVALUE(tracked_rank &amp; budget_rank), "")</f>
        <v/>
      </c>
      <c r="T24">
        <f> IF(is_cat, ADDRESS(sort_min_row, COLUMN(comb_rank)) &amp; ":" &amp; ADDRESS(sort_max_row, COLUMN(comb_rank)), "")</f>
        <v/>
      </c>
      <c r="U24">
        <f>IF(is_cat, RANK(comb_rank, INDIRECT(comb_rank_range), 1), "")</f>
        <v/>
      </c>
      <c r="V24">
        <f> IF(is_cat, ADDRESS(sort_min_row, COLUMN(comb_rank_norm)) &amp; ":" &amp; ADDRESS(ROW(), COLUMN(comb_rank_norm)), "")</f>
        <v/>
      </c>
      <c r="W24" s="36">
        <f> IF(is_cat, comb_rank_norm + COUNTIF(INDIRECT(comb_rank_norm_run_range), comb_rank_norm)-1, "")</f>
        <v/>
      </c>
      <c r="X24" s="68">
        <f> IF(is_cat, header_row_id + comb_rank_unique, row_id)</f>
        <v/>
      </c>
      <c r="Y24" s="70">
        <f> IF(is_empty, "", INDEX($J:$J, MATCH(row_id, $X:$X, 0)))</f>
        <v/>
      </c>
      <c r="Z24" s="72">
        <f> IF(is_empty, "", IF(is_header, "Tracked", INDEX($K:$K, MATCH(row_id, $X:$X, 0))))</f>
        <v/>
      </c>
      <c r="AA24" s="72">
        <f> IF(is_empty, "", IF(is_header, "Budget", INDEX($L:$L, MATCH(row_id, $X:$X, 0))))</f>
        <v/>
      </c>
      <c r="AB24" s="71">
        <f> IF(is_empty, "", IF(is_header, "% Compl.", IFERROR(out_tracked / out_budget, "-")))</f>
        <v/>
      </c>
      <c r="AC24" s="72">
        <f> IF(is_empty, "", IF(is_header, "Remaining", IF(out_budget - out_tracked &gt; 0, out_budget - out_tracked, 0)))</f>
        <v/>
      </c>
      <c r="AD24" s="72">
        <f> IF(is_empty, "", IF(is_header, "Excess", IF(out_budget - out_tracked &lt; 0, out_tracked - out_budget, 0)))</f>
        <v/>
      </c>
      <c r="AF24" s="33" t="n"/>
      <c r="AK24" s="36" t="n"/>
      <c r="AM24" s="33" t="n"/>
      <c r="AR24" s="36" t="n"/>
    </row>
    <row r="25">
      <c r="C25" s="33">
        <f t="array" ref="C25">IF(C24=-1,-1,
IF(C24&lt;income_max_row,C24+1,
IF(C24=income_max_row,income_total_row,
IF(C24=income_total_row,"/1",
IF(C24="/1",expenses_header_row,
IF(C24&lt;expenses_max_row,C24+1,
IF(C24=expenses_max_row,expenses_total_row,
IF(C24=expenses_total_row, "/2",
IF(C24="/2", savings_header_row,
IF(C24&lt;savings_max_row, C24+1,
IF(C24=savings_max_row, savings_total_row,
-1)))))))))))</f>
        <v/>
      </c>
      <c r="D25" s="36">
        <f> IF(is_header, row_id,
IF(NOT(is_empty), D24, -1))</f>
        <v/>
      </c>
      <c r="E25" s="33">
        <f t="array" ref="E25"> OR(row_id=income_header_row, row_id=expenses_header_row, row_id=savings_header_row) * 1</f>
        <v/>
      </c>
      <c r="F25">
        <f> 1 * NOT(OR(is_header, is_total, is_empty))</f>
        <v/>
      </c>
      <c r="G25">
        <f t="array" ref="G25"> OR(row_id=income_total_row, row_id=expenses_total_row, row_id=savings_total_row) * 1</f>
        <v/>
      </c>
      <c r="H25" s="36">
        <f> OR(row_id="/1", row_id="/2", row_id=-1)*1</f>
        <v/>
      </c>
      <c r="I25" s="33">
        <f t="array" ref="I25"> IFERROR(INDEX('Budget Planning'!$C:$C, header_row_id), "")</f>
        <v/>
      </c>
      <c r="J25">
        <f t="array" ref="J25"> IFERROR(INDEX('Budget Planning'!$C:$C, row_id), "")</f>
        <v/>
      </c>
      <c r="K25" s="65">
        <f t="array" ref="K25"> 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25" s="66">
        <f t="array" ref="L25"> IF(OR(is_header, is_empty), "",
         INDEX('Budget Planning'!$E:$EM, row_id,
                  MATCH(IF(selected_period="Total Year", selected_year, DATE(selected_year, selected_period, 1)), 'Budget Planning'!$E$9:$EM$9, 0)))</f>
        <v/>
      </c>
      <c r="M25" s="33">
        <f t="array" ref="M25">IF(is_cat,
        IF(header_row_id=income_header_row, MATCH(income_min_row, $C:$C, 0),
                 IF(header_row_id=expenses_header_row, MATCH(expenses_min_row, $C:$C, 0),
                          IF(header_row_id=savings_header_row, MATCH(savings_min_row, $C:$C, 0), ""))), "")</f>
        <v/>
      </c>
      <c r="N25" s="36">
        <f t="array" ref="N25">IF(is_cat,
        IF(header_row_id=income_header_row, MATCH(income_max_row, $C:$C, 0),
                 IF(header_row_id=expenses_header_row, MATCH(expenses_max_row, $C:$C, 0),
                          IF(header_row_id=savings_header_row, MATCH(savings_max_row, $C:$C, 0), ""))), "")</f>
        <v/>
      </c>
      <c r="O25" s="33">
        <f> IF(is_cat, ADDRESS(sort_min_row, COLUMN(tracked)) &amp; ":" &amp; ADDRESS(sort_max_row, COLUMN(tracked)), "")</f>
        <v/>
      </c>
      <c r="P25">
        <f> IF(is_cat, RANK(tracked, INDIRECT(tracked_range), 0), "")</f>
        <v/>
      </c>
      <c r="Q25">
        <f> IF(is_cat, ADDRESS(sort_min_row, COLUMN(budget)) &amp; ":" &amp; ADDRESS(sort_max_row, COLUMN(budget)), "")</f>
        <v/>
      </c>
      <c r="R25" s="36">
        <f> IF(is_cat, RANK(budget, INDIRECT(budget_range), 0), "")</f>
        <v/>
      </c>
      <c r="S25" s="33">
        <f> IF(is_cat, _xlfn.NUMBERVALUE(tracked_rank &amp; budget_rank), "")</f>
        <v/>
      </c>
      <c r="T25">
        <f> IF(is_cat, ADDRESS(sort_min_row, COLUMN(comb_rank)) &amp; ":" &amp; ADDRESS(sort_max_row, COLUMN(comb_rank)), "")</f>
        <v/>
      </c>
      <c r="U25">
        <f>IF(is_cat, RANK(comb_rank, INDIRECT(comb_rank_range), 1), "")</f>
        <v/>
      </c>
      <c r="V25">
        <f> IF(is_cat, ADDRESS(sort_min_row, COLUMN(comb_rank_norm)) &amp; ":" &amp; ADDRESS(ROW(), COLUMN(comb_rank_norm)), "")</f>
        <v/>
      </c>
      <c r="W25" s="36">
        <f> IF(is_cat, comb_rank_norm + COUNTIF(INDIRECT(comb_rank_norm_run_range), comb_rank_norm)-1, "")</f>
        <v/>
      </c>
      <c r="X25" s="68">
        <f> IF(is_cat, header_row_id + comb_rank_unique, row_id)</f>
        <v/>
      </c>
      <c r="Y25" s="70">
        <f> IF(is_empty, "", INDEX($J:$J, MATCH(row_id, $X:$X, 0)))</f>
        <v/>
      </c>
      <c r="Z25" s="72">
        <f> IF(is_empty, "", IF(is_header, "Tracked", INDEX($K:$K, MATCH(row_id, $X:$X, 0))))</f>
        <v/>
      </c>
      <c r="AA25" s="72">
        <f> IF(is_empty, "", IF(is_header, "Budget", INDEX($L:$L, MATCH(row_id, $X:$X, 0))))</f>
        <v/>
      </c>
      <c r="AB25" s="71">
        <f> IF(is_empty, "", IF(is_header, "% Compl.", IFERROR(out_tracked / out_budget, "-")))</f>
        <v/>
      </c>
      <c r="AC25" s="72">
        <f> IF(is_empty, "", IF(is_header, "Remaining", IF(out_budget - out_tracked &gt; 0, out_budget - out_tracked, 0)))</f>
        <v/>
      </c>
      <c r="AD25" s="72">
        <f> IF(is_empty, "", IF(is_header, "Excess", IF(out_budget - out_tracked &lt; 0, out_tracked - out_budget, 0)))</f>
        <v/>
      </c>
      <c r="AF25" s="34" t="n"/>
      <c r="AG25" s="35" t="n"/>
      <c r="AH25" s="35" t="n"/>
      <c r="AI25" s="35" t="n"/>
      <c r="AJ25" s="35" t="n"/>
      <c r="AK25" s="37" t="n"/>
      <c r="AM25" s="34" t="n"/>
      <c r="AN25" s="35" t="n"/>
      <c r="AO25" s="35" t="n"/>
      <c r="AP25" s="35" t="n"/>
      <c r="AQ25" s="35" t="n"/>
      <c r="AR25" s="37" t="n"/>
    </row>
    <row r="26">
      <c r="C26" s="33">
        <f t="array" ref="C26">IF(C25=-1,-1,
IF(C25&lt;income_max_row,C25+1,
IF(C25=income_max_row,income_total_row,
IF(C25=income_total_row,"/1",
IF(C25="/1",expenses_header_row,
IF(C25&lt;expenses_max_row,C25+1,
IF(C25=expenses_max_row,expenses_total_row,
IF(C25=expenses_total_row, "/2",
IF(C25="/2", savings_header_row,
IF(C25&lt;savings_max_row, C25+1,
IF(C25=savings_max_row, savings_total_row,
-1)))))))))))</f>
        <v/>
      </c>
      <c r="D26" s="36">
        <f> IF(is_header, row_id,
IF(NOT(is_empty), D25, -1))</f>
        <v/>
      </c>
      <c r="E26" s="33">
        <f t="array" ref="E26"> OR(row_id=income_header_row, row_id=expenses_header_row, row_id=savings_header_row) * 1</f>
        <v/>
      </c>
      <c r="F26">
        <f> 1 * NOT(OR(is_header, is_total, is_empty))</f>
        <v/>
      </c>
      <c r="G26">
        <f t="array" ref="G26"> OR(row_id=income_total_row, row_id=expenses_total_row, row_id=savings_total_row) * 1</f>
        <v/>
      </c>
      <c r="H26" s="36">
        <f> OR(row_id="/1", row_id="/2", row_id=-1)*1</f>
        <v/>
      </c>
      <c r="I26" s="33">
        <f t="array" ref="I26"> IFERROR(INDEX('Budget Planning'!$C:$C, header_row_id), "")</f>
        <v/>
      </c>
      <c r="J26">
        <f t="array" ref="J26"> IFERROR(INDEX('Budget Planning'!$C:$C, row_id), "")</f>
        <v/>
      </c>
      <c r="K26" s="65">
        <f t="array" ref="K26"> 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26" s="66">
        <f t="array" ref="L26"> IF(OR(is_header, is_empty), "",
         INDEX('Budget Planning'!$E:$EM, row_id,
                  MATCH(IF(selected_period="Total Year", selected_year, DATE(selected_year, selected_period, 1)), 'Budget Planning'!$E$9:$EM$9, 0)))</f>
        <v/>
      </c>
      <c r="M26" s="33">
        <f t="array" ref="M26">IF(is_cat,
        IF(header_row_id=income_header_row, MATCH(income_min_row, $C:$C, 0),
                 IF(header_row_id=expenses_header_row, MATCH(expenses_min_row, $C:$C, 0),
                          IF(header_row_id=savings_header_row, MATCH(savings_min_row, $C:$C, 0), ""))), "")</f>
        <v/>
      </c>
      <c r="N26" s="36">
        <f t="array" ref="N26">IF(is_cat,
        IF(header_row_id=income_header_row, MATCH(income_max_row, $C:$C, 0),
                 IF(header_row_id=expenses_header_row, MATCH(expenses_max_row, $C:$C, 0),
                          IF(header_row_id=savings_header_row, MATCH(savings_max_row, $C:$C, 0), ""))), "")</f>
        <v/>
      </c>
      <c r="O26" s="33">
        <f> IF(is_cat, ADDRESS(sort_min_row, COLUMN(tracked)) &amp; ":" &amp; ADDRESS(sort_max_row, COLUMN(tracked)), "")</f>
        <v/>
      </c>
      <c r="P26">
        <f> IF(is_cat, RANK(tracked, INDIRECT(tracked_range), 0), "")</f>
        <v/>
      </c>
      <c r="Q26">
        <f> IF(is_cat, ADDRESS(sort_min_row, COLUMN(budget)) &amp; ":" &amp; ADDRESS(sort_max_row, COLUMN(budget)), "")</f>
        <v/>
      </c>
      <c r="R26" s="36">
        <f> IF(is_cat, RANK(budget, INDIRECT(budget_range), 0), "")</f>
        <v/>
      </c>
      <c r="S26" s="33">
        <f> IF(is_cat, _xlfn.NUMBERVALUE(tracked_rank &amp; budget_rank), "")</f>
        <v/>
      </c>
      <c r="T26">
        <f> IF(is_cat, ADDRESS(sort_min_row, COLUMN(comb_rank)) &amp; ":" &amp; ADDRESS(sort_max_row, COLUMN(comb_rank)), "")</f>
        <v/>
      </c>
      <c r="U26">
        <f>IF(is_cat, RANK(comb_rank, INDIRECT(comb_rank_range), 1), "")</f>
        <v/>
      </c>
      <c r="V26">
        <f> IF(is_cat, ADDRESS(sort_min_row, COLUMN(comb_rank_norm)) &amp; ":" &amp; ADDRESS(ROW(), COLUMN(comb_rank_norm)), "")</f>
        <v/>
      </c>
      <c r="W26" s="36">
        <f> IF(is_cat, comb_rank_norm + COUNTIF(INDIRECT(comb_rank_norm_run_range), comb_rank_norm)-1, "")</f>
        <v/>
      </c>
      <c r="X26" s="68">
        <f> IF(is_cat, header_row_id + comb_rank_unique, row_id)</f>
        <v/>
      </c>
      <c r="Y26" s="70">
        <f> IF(is_empty, "", INDEX($J:$J, MATCH(row_id, $X:$X, 0)))</f>
        <v/>
      </c>
      <c r="Z26" s="72">
        <f> IF(is_empty, "", IF(is_header, "Tracked", INDEX($K:$K, MATCH(row_id, $X:$X, 0))))</f>
        <v/>
      </c>
      <c r="AA26" s="72">
        <f> IF(is_empty, "", IF(is_header, "Budget", INDEX($L:$L, MATCH(row_id, $X:$X, 0))))</f>
        <v/>
      </c>
      <c r="AB26" s="71">
        <f> IF(is_empty, "", IF(is_header, "% Compl.", IFERROR(out_tracked / out_budget, "-")))</f>
        <v/>
      </c>
      <c r="AC26" s="72">
        <f> IF(is_empty, "", IF(is_header, "Remaining", IF(out_budget - out_tracked &gt; 0, out_budget - out_tracked, 0)))</f>
        <v/>
      </c>
      <c r="AD26" s="72">
        <f> IF(is_empty, "", IF(is_header, "Excess", IF(out_budget - out_tracked &lt; 0, out_tracked - out_budget, 0)))</f>
        <v/>
      </c>
    </row>
    <row r="27">
      <c r="C27" s="33">
        <f t="array" ref="C27">IF(C26=-1,-1,
IF(C26&lt;income_max_row,C26+1,
IF(C26=income_max_row,income_total_row,
IF(C26=income_total_row,"/1",
IF(C26="/1",expenses_header_row,
IF(C26&lt;expenses_max_row,C26+1,
IF(C26=expenses_max_row,expenses_total_row,
IF(C26=expenses_total_row, "/2",
IF(C26="/2", savings_header_row,
IF(C26&lt;savings_max_row, C26+1,
IF(C26=savings_max_row, savings_total_row,
-1)))))))))))</f>
        <v/>
      </c>
      <c r="D27" s="36">
        <f> IF(is_header, row_id,
IF(NOT(is_empty), D26, -1))</f>
        <v/>
      </c>
      <c r="E27" s="33">
        <f t="array" ref="E27"> OR(row_id=income_header_row, row_id=expenses_header_row, row_id=savings_header_row) * 1</f>
        <v/>
      </c>
      <c r="F27">
        <f> 1 * NOT(OR(is_header, is_total, is_empty))</f>
        <v/>
      </c>
      <c r="G27">
        <f t="array" ref="G27"> OR(row_id=income_total_row, row_id=expenses_total_row, row_id=savings_total_row) * 1</f>
        <v/>
      </c>
      <c r="H27" s="36">
        <f> OR(row_id="/1", row_id="/2", row_id=-1)*1</f>
        <v/>
      </c>
      <c r="I27" s="33">
        <f t="array" ref="I27"> IFERROR(INDEX('Budget Planning'!$C:$C, header_row_id), "")</f>
        <v/>
      </c>
      <c r="J27">
        <f t="array" ref="J27"> IFERROR(INDEX('Budget Planning'!$C:$C, row_id), "")</f>
        <v/>
      </c>
      <c r="K27" s="65">
        <f t="array" ref="K27"> 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27" s="66">
        <f t="array" ref="L27"> IF(OR(is_header, is_empty), "",
         INDEX('Budget Planning'!$E:$EM, row_id,
                  MATCH(IF(selected_period="Total Year", selected_year, DATE(selected_year, selected_period, 1)), 'Budget Planning'!$E$9:$EM$9, 0)))</f>
        <v/>
      </c>
      <c r="M27" s="33">
        <f t="array" ref="M27">IF(is_cat,
        IF(header_row_id=income_header_row, MATCH(income_min_row, $C:$C, 0),
                 IF(header_row_id=expenses_header_row, MATCH(expenses_min_row, $C:$C, 0),
                          IF(header_row_id=savings_header_row, MATCH(savings_min_row, $C:$C, 0), ""))), "")</f>
        <v/>
      </c>
      <c r="N27" s="36">
        <f t="array" ref="N27">IF(is_cat,
        IF(header_row_id=income_header_row, MATCH(income_max_row, $C:$C, 0),
                 IF(header_row_id=expenses_header_row, MATCH(expenses_max_row, $C:$C, 0),
                          IF(header_row_id=savings_header_row, MATCH(savings_max_row, $C:$C, 0), ""))), "")</f>
        <v/>
      </c>
      <c r="O27" s="33">
        <f> IF(is_cat, ADDRESS(sort_min_row, COLUMN(tracked)) &amp; ":" &amp; ADDRESS(sort_max_row, COLUMN(tracked)), "")</f>
        <v/>
      </c>
      <c r="P27">
        <f> IF(is_cat, RANK(tracked, INDIRECT(tracked_range), 0), "")</f>
        <v/>
      </c>
      <c r="Q27">
        <f> IF(is_cat, ADDRESS(sort_min_row, COLUMN(budget)) &amp; ":" &amp; ADDRESS(sort_max_row, COLUMN(budget)), "")</f>
        <v/>
      </c>
      <c r="R27" s="36">
        <f> IF(is_cat, RANK(budget, INDIRECT(budget_range), 0), "")</f>
        <v/>
      </c>
      <c r="S27" s="33">
        <f> IF(is_cat, _xlfn.NUMBERVALUE(tracked_rank &amp; budget_rank), "")</f>
        <v/>
      </c>
      <c r="T27">
        <f> IF(is_cat, ADDRESS(sort_min_row, COLUMN(comb_rank)) &amp; ":" &amp; ADDRESS(sort_max_row, COLUMN(comb_rank)), "")</f>
        <v/>
      </c>
      <c r="U27">
        <f>IF(is_cat, RANK(comb_rank, INDIRECT(comb_rank_range), 1), "")</f>
        <v/>
      </c>
      <c r="V27">
        <f> IF(is_cat, ADDRESS(sort_min_row, COLUMN(comb_rank_norm)) &amp; ":" &amp; ADDRESS(ROW(), COLUMN(comb_rank_norm)), "")</f>
        <v/>
      </c>
      <c r="W27" s="36">
        <f> IF(is_cat, comb_rank_norm + COUNTIF(INDIRECT(comb_rank_norm_run_range), comb_rank_norm)-1, "")</f>
        <v/>
      </c>
      <c r="X27" s="68">
        <f> IF(is_cat, header_row_id + comb_rank_unique, row_id)</f>
        <v/>
      </c>
      <c r="Y27" s="70">
        <f> IF(is_empty, "", INDEX($J:$J, MATCH(row_id, $X:$X, 0)))</f>
        <v/>
      </c>
      <c r="Z27" s="72">
        <f> IF(is_empty, "", IF(is_header, "Tracked", INDEX($K:$K, MATCH(row_id, $X:$X, 0))))</f>
        <v/>
      </c>
      <c r="AA27" s="72">
        <f> IF(is_empty, "", IF(is_header, "Budget", INDEX($L:$L, MATCH(row_id, $X:$X, 0))))</f>
        <v/>
      </c>
      <c r="AB27" s="71">
        <f> IF(is_empty, "", IF(is_header, "% Compl.", IFERROR(out_tracked / out_budget, "-")))</f>
        <v/>
      </c>
      <c r="AC27" s="72">
        <f> IF(is_empty, "", IF(is_header, "Remaining", IF(out_budget - out_tracked &gt; 0, out_budget - out_tracked, 0)))</f>
        <v/>
      </c>
      <c r="AD27" s="72">
        <f> IF(is_empty, "", IF(is_header, "Excess", IF(out_budget - out_tracked &lt; 0, out_tracked - out_budget, 0)))</f>
        <v/>
      </c>
      <c r="AF27" s="88" t="n"/>
      <c r="AG27" s="89" t="n"/>
      <c r="AH27" s="89" t="n"/>
      <c r="AI27" s="89" t="n"/>
      <c r="AJ27" s="89" t="n"/>
      <c r="AK27" s="90" t="n"/>
      <c r="AM27" s="88" t="n"/>
      <c r="AN27" s="89" t="n"/>
      <c r="AO27" s="89" t="n"/>
      <c r="AP27" s="89" t="n"/>
      <c r="AQ27" s="89" t="n"/>
      <c r="AR27" s="90" t="n"/>
    </row>
    <row r="28">
      <c r="C28" s="33">
        <f t="array" ref="C28">IF(C27=-1,-1,
IF(C27&lt;income_max_row,C27+1,
IF(C27=income_max_row,income_total_row,
IF(C27=income_total_row,"/1",
IF(C27="/1",expenses_header_row,
IF(C27&lt;expenses_max_row,C27+1,
IF(C27=expenses_max_row,expenses_total_row,
IF(C27=expenses_total_row, "/2",
IF(C27="/2", savings_header_row,
IF(C27&lt;savings_max_row, C27+1,
IF(C27=savings_max_row, savings_total_row,
-1)))))))))))</f>
        <v/>
      </c>
      <c r="D28" s="36">
        <f> IF(is_header, row_id,
IF(NOT(is_empty), D27, -1))</f>
        <v/>
      </c>
      <c r="E28" s="33">
        <f t="array" ref="E28"> OR(row_id=income_header_row, row_id=expenses_header_row, row_id=savings_header_row) * 1</f>
        <v/>
      </c>
      <c r="F28">
        <f> 1 * NOT(OR(is_header, is_total, is_empty))</f>
        <v/>
      </c>
      <c r="G28">
        <f t="array" ref="G28"> OR(row_id=income_total_row, row_id=expenses_total_row, row_id=savings_total_row) * 1</f>
        <v/>
      </c>
      <c r="H28" s="36">
        <f> OR(row_id="/1", row_id="/2", row_id=-1)*1</f>
        <v/>
      </c>
      <c r="I28" s="33">
        <f t="array" ref="I28"> IFERROR(INDEX('Budget Planning'!$C:$C, header_row_id), "")</f>
        <v/>
      </c>
      <c r="J28">
        <f t="array" ref="J28"> IFERROR(INDEX('Budget Planning'!$C:$C, row_id), "")</f>
        <v/>
      </c>
      <c r="K28" s="65">
        <f t="array" ref="K28"> 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28" s="66">
        <f t="array" ref="L28"> IF(OR(is_header, is_empty), "",
         INDEX('Budget Planning'!$E:$EM, row_id,
                  MATCH(IF(selected_period="Total Year", selected_year, DATE(selected_year, selected_period, 1)), 'Budget Planning'!$E$9:$EM$9, 0)))</f>
        <v/>
      </c>
      <c r="M28" s="33">
        <f t="array" ref="M28">IF(is_cat,
        IF(header_row_id=income_header_row, MATCH(income_min_row, $C:$C, 0),
                 IF(header_row_id=expenses_header_row, MATCH(expenses_min_row, $C:$C, 0),
                          IF(header_row_id=savings_header_row, MATCH(savings_min_row, $C:$C, 0), ""))), "")</f>
        <v/>
      </c>
      <c r="N28" s="36">
        <f t="array" ref="N28">IF(is_cat,
        IF(header_row_id=income_header_row, MATCH(income_max_row, $C:$C, 0),
                 IF(header_row_id=expenses_header_row, MATCH(expenses_max_row, $C:$C, 0),
                          IF(header_row_id=savings_header_row, MATCH(savings_max_row, $C:$C, 0), ""))), "")</f>
        <v/>
      </c>
      <c r="O28" s="33">
        <f> IF(is_cat, ADDRESS(sort_min_row, COLUMN(tracked)) &amp; ":" &amp; ADDRESS(sort_max_row, COLUMN(tracked)), "")</f>
        <v/>
      </c>
      <c r="P28">
        <f> IF(is_cat, RANK(tracked, INDIRECT(tracked_range), 0), "")</f>
        <v/>
      </c>
      <c r="Q28">
        <f> IF(is_cat, ADDRESS(sort_min_row, COLUMN(budget)) &amp; ":" &amp; ADDRESS(sort_max_row, COLUMN(budget)), "")</f>
        <v/>
      </c>
      <c r="R28" s="36">
        <f> IF(is_cat, RANK(budget, INDIRECT(budget_range), 0), "")</f>
        <v/>
      </c>
      <c r="S28" s="33">
        <f> IF(is_cat, _xlfn.NUMBERVALUE(tracked_rank &amp; budget_rank), "")</f>
        <v/>
      </c>
      <c r="T28">
        <f> IF(is_cat, ADDRESS(sort_min_row, COLUMN(comb_rank)) &amp; ":" &amp; ADDRESS(sort_max_row, COLUMN(comb_rank)), "")</f>
        <v/>
      </c>
      <c r="U28">
        <f>IF(is_cat, RANK(comb_rank, INDIRECT(comb_rank_range), 1), "")</f>
        <v/>
      </c>
      <c r="V28">
        <f> IF(is_cat, ADDRESS(sort_min_row, COLUMN(comb_rank_norm)) &amp; ":" &amp; ADDRESS(ROW(), COLUMN(comb_rank_norm)), "")</f>
        <v/>
      </c>
      <c r="W28" s="36">
        <f> IF(is_cat, comb_rank_norm + COUNTIF(INDIRECT(comb_rank_norm_run_range), comb_rank_norm)-1, "")</f>
        <v/>
      </c>
      <c r="X28" s="68">
        <f> IF(is_cat, header_row_id + comb_rank_unique, row_id)</f>
        <v/>
      </c>
      <c r="Y28" s="70">
        <f> IF(is_empty, "", INDEX($J:$J, MATCH(row_id, $X:$X, 0)))</f>
        <v/>
      </c>
      <c r="Z28" s="72">
        <f> IF(is_empty, "", IF(is_header, "Tracked", INDEX($K:$K, MATCH(row_id, $X:$X, 0))))</f>
        <v/>
      </c>
      <c r="AA28" s="72">
        <f> IF(is_empty, "", IF(is_header, "Budget", INDEX($L:$L, MATCH(row_id, $X:$X, 0))))</f>
        <v/>
      </c>
      <c r="AB28" s="71">
        <f> IF(is_empty, "", IF(is_header, "% Compl.", IFERROR(out_tracked / out_budget, "-")))</f>
        <v/>
      </c>
      <c r="AC28" s="72">
        <f> IF(is_empty, "", IF(is_header, "Remaining", IF(out_budget - out_tracked &gt; 0, out_budget - out_tracked, 0)))</f>
        <v/>
      </c>
      <c r="AD28" s="72">
        <f> IF(is_empty, "", IF(is_header, "Excess", IF(out_budget - out_tracked &lt; 0, out_tracked - out_budget, 0)))</f>
        <v/>
      </c>
      <c r="AF28" s="33" t="n"/>
      <c r="AK28" s="36" t="n"/>
      <c r="AM28" s="33" t="n"/>
      <c r="AR28" s="36" t="n"/>
    </row>
    <row r="29">
      <c r="C29" s="33">
        <f t="array" ref="C29">IF(C28=-1,-1,
IF(C28&lt;income_max_row,C28+1,
IF(C28=income_max_row,income_total_row,
IF(C28=income_total_row,"/1",
IF(C28="/1",expenses_header_row,
IF(C28&lt;expenses_max_row,C28+1,
IF(C28=expenses_max_row,expenses_total_row,
IF(C28=expenses_total_row, "/2",
IF(C28="/2", savings_header_row,
IF(C28&lt;savings_max_row, C28+1,
IF(C28=savings_max_row, savings_total_row,
-1)))))))))))</f>
        <v/>
      </c>
      <c r="D29" s="36">
        <f> IF(is_header, row_id,
IF(NOT(is_empty), D28, -1))</f>
        <v/>
      </c>
      <c r="E29" s="33">
        <f t="array" ref="E29"> OR(row_id=income_header_row, row_id=expenses_header_row, row_id=savings_header_row) * 1</f>
        <v/>
      </c>
      <c r="F29">
        <f> 1 * NOT(OR(is_header, is_total, is_empty))</f>
        <v/>
      </c>
      <c r="G29">
        <f t="array" ref="G29"> OR(row_id=income_total_row, row_id=expenses_total_row, row_id=savings_total_row) * 1</f>
        <v/>
      </c>
      <c r="H29" s="36">
        <f> OR(row_id="/1", row_id="/2", row_id=-1)*1</f>
        <v/>
      </c>
      <c r="I29" s="33">
        <f t="array" ref="I29"> IFERROR(INDEX('Budget Planning'!$C:$C, header_row_id), "")</f>
        <v/>
      </c>
      <c r="J29">
        <f t="array" ref="J29"> IFERROR(INDEX('Budget Planning'!$C:$C, row_id), "")</f>
        <v/>
      </c>
      <c r="K29" s="65">
        <f t="array" ref="K29"> 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29" s="66">
        <f t="array" ref="L29"> IF(OR(is_header, is_empty), "",
         INDEX('Budget Planning'!$E:$EM, row_id,
                  MATCH(IF(selected_period="Total Year", selected_year, DATE(selected_year, selected_period, 1)), 'Budget Planning'!$E$9:$EM$9, 0)))</f>
        <v/>
      </c>
      <c r="M29" s="33">
        <f t="array" ref="M29">IF(is_cat,
        IF(header_row_id=income_header_row, MATCH(income_min_row, $C:$C, 0),
                 IF(header_row_id=expenses_header_row, MATCH(expenses_min_row, $C:$C, 0),
                          IF(header_row_id=savings_header_row, MATCH(savings_min_row, $C:$C, 0), ""))), "")</f>
        <v/>
      </c>
      <c r="N29" s="36">
        <f t="array" ref="N29">IF(is_cat,
        IF(header_row_id=income_header_row, MATCH(income_max_row, $C:$C, 0),
                 IF(header_row_id=expenses_header_row, MATCH(expenses_max_row, $C:$C, 0),
                          IF(header_row_id=savings_header_row, MATCH(savings_max_row, $C:$C, 0), ""))), "")</f>
        <v/>
      </c>
      <c r="O29" s="33">
        <f> IF(is_cat, ADDRESS(sort_min_row, COLUMN(tracked)) &amp; ":" &amp; ADDRESS(sort_max_row, COLUMN(tracked)), "")</f>
        <v/>
      </c>
      <c r="P29">
        <f> IF(is_cat, RANK(tracked, INDIRECT(tracked_range), 0), "")</f>
        <v/>
      </c>
      <c r="Q29">
        <f> IF(is_cat, ADDRESS(sort_min_row, COLUMN(budget)) &amp; ":" &amp; ADDRESS(sort_max_row, COLUMN(budget)), "")</f>
        <v/>
      </c>
      <c r="R29" s="36">
        <f> IF(is_cat, RANK(budget, INDIRECT(budget_range), 0), "")</f>
        <v/>
      </c>
      <c r="S29" s="33">
        <f> IF(is_cat, _xlfn.NUMBERVALUE(tracked_rank &amp; budget_rank), "")</f>
        <v/>
      </c>
      <c r="T29">
        <f> IF(is_cat, ADDRESS(sort_min_row, COLUMN(comb_rank)) &amp; ":" &amp; ADDRESS(sort_max_row, COLUMN(comb_rank)), "")</f>
        <v/>
      </c>
      <c r="U29">
        <f>IF(is_cat, RANK(comb_rank, INDIRECT(comb_rank_range), 1), "")</f>
        <v/>
      </c>
      <c r="V29">
        <f> IF(is_cat, ADDRESS(sort_min_row, COLUMN(comb_rank_norm)) &amp; ":" &amp; ADDRESS(ROW(), COLUMN(comb_rank_norm)), "")</f>
        <v/>
      </c>
      <c r="W29" s="36">
        <f> IF(is_cat, comb_rank_norm + COUNTIF(INDIRECT(comb_rank_norm_run_range), comb_rank_norm)-1, "")</f>
        <v/>
      </c>
      <c r="X29" s="68">
        <f> IF(is_cat, header_row_id + comb_rank_unique, row_id)</f>
        <v/>
      </c>
      <c r="Y29" s="70">
        <f> IF(is_empty, "", INDEX($J:$J, MATCH(row_id, $X:$X, 0)))</f>
        <v/>
      </c>
      <c r="Z29" s="72">
        <f> IF(is_empty, "", IF(is_header, "Tracked", INDEX($K:$K, MATCH(row_id, $X:$X, 0))))</f>
        <v/>
      </c>
      <c r="AA29" s="72">
        <f> IF(is_empty, "", IF(is_header, "Budget", INDEX($L:$L, MATCH(row_id, $X:$X, 0))))</f>
        <v/>
      </c>
      <c r="AB29" s="71">
        <f> IF(is_empty, "", IF(is_header, "% Compl.", IFERROR(out_tracked / out_budget, "-")))</f>
        <v/>
      </c>
      <c r="AC29" s="72">
        <f> IF(is_empty, "", IF(is_header, "Remaining", IF(out_budget - out_tracked &gt; 0, out_budget - out_tracked, 0)))</f>
        <v/>
      </c>
      <c r="AD29" s="72">
        <f> IF(is_empty, "", IF(is_header, "Excess", IF(out_budget - out_tracked &lt; 0, out_tracked - out_budget, 0)))</f>
        <v/>
      </c>
      <c r="AF29" s="33" t="n"/>
      <c r="AI29" s="83" t="n"/>
      <c r="AJ29" s="84" t="n"/>
      <c r="AK29" s="36" t="n"/>
      <c r="AM29" s="33" t="n"/>
      <c r="AP29" s="83" t="n"/>
      <c r="AQ29" s="84" t="n"/>
      <c r="AR29" s="36" t="n"/>
    </row>
    <row r="30">
      <c r="C30" s="33">
        <f t="array" ref="C30">IF(C29=-1,-1,
IF(C29&lt;income_max_row,C29+1,
IF(C29=income_max_row,income_total_row,
IF(C29=income_total_row,"/1",
IF(C29="/1",expenses_header_row,
IF(C29&lt;expenses_max_row,C29+1,
IF(C29=expenses_max_row,expenses_total_row,
IF(C29=expenses_total_row, "/2",
IF(C29="/2", savings_header_row,
IF(C29&lt;savings_max_row, C29+1,
IF(C29=savings_max_row, savings_total_row,
-1)))))))))))</f>
        <v/>
      </c>
      <c r="D30" s="36">
        <f> IF(is_header, row_id,
IF(NOT(is_empty), D29, -1))</f>
        <v/>
      </c>
      <c r="E30" s="33">
        <f t="array" ref="E30"> OR(row_id=income_header_row, row_id=expenses_header_row, row_id=savings_header_row) * 1</f>
        <v/>
      </c>
      <c r="F30">
        <f> 1 * NOT(OR(is_header, is_total, is_empty))</f>
        <v/>
      </c>
      <c r="G30">
        <f t="array" ref="G30"> OR(row_id=income_total_row, row_id=expenses_total_row, row_id=savings_total_row) * 1</f>
        <v/>
      </c>
      <c r="H30" s="36">
        <f> OR(row_id="/1", row_id="/2", row_id=-1)*1</f>
        <v/>
      </c>
      <c r="I30" s="33">
        <f t="array" ref="I30"> IFERROR(INDEX('Budget Planning'!$C:$C, header_row_id), "")</f>
        <v/>
      </c>
      <c r="J30">
        <f t="array" ref="J30"> IFERROR(INDEX('Budget Planning'!$C:$C, row_id), "")</f>
        <v/>
      </c>
      <c r="K30" s="65">
        <f t="array" ref="K30"> 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30" s="66">
        <f t="array" ref="L30"> IF(OR(is_header, is_empty), "",
         INDEX('Budget Planning'!$E:$EM, row_id,
                  MATCH(IF(selected_period="Total Year", selected_year, DATE(selected_year, selected_period, 1)), 'Budget Planning'!$E$9:$EM$9, 0)))</f>
        <v/>
      </c>
      <c r="M30" s="33">
        <f t="array" ref="M30">IF(is_cat,
        IF(header_row_id=income_header_row, MATCH(income_min_row, $C:$C, 0),
                 IF(header_row_id=expenses_header_row, MATCH(expenses_min_row, $C:$C, 0),
                          IF(header_row_id=savings_header_row, MATCH(savings_min_row, $C:$C, 0), ""))), "")</f>
        <v/>
      </c>
      <c r="N30" s="36">
        <f t="array" ref="N30">IF(is_cat,
        IF(header_row_id=income_header_row, MATCH(income_max_row, $C:$C, 0),
                 IF(header_row_id=expenses_header_row, MATCH(expenses_max_row, $C:$C, 0),
                          IF(header_row_id=savings_header_row, MATCH(savings_max_row, $C:$C, 0), ""))), "")</f>
        <v/>
      </c>
      <c r="O30" s="33">
        <f> IF(is_cat, ADDRESS(sort_min_row, COLUMN(tracked)) &amp; ":" &amp; ADDRESS(sort_max_row, COLUMN(tracked)), "")</f>
        <v/>
      </c>
      <c r="P30">
        <f> IF(is_cat, RANK(tracked, INDIRECT(tracked_range), 0), "")</f>
        <v/>
      </c>
      <c r="Q30">
        <f> IF(is_cat, ADDRESS(sort_min_row, COLUMN(budget)) &amp; ":" &amp; ADDRESS(sort_max_row, COLUMN(budget)), "")</f>
        <v/>
      </c>
      <c r="R30" s="36">
        <f> IF(is_cat, RANK(budget, INDIRECT(budget_range), 0), "")</f>
        <v/>
      </c>
      <c r="S30" s="33">
        <f> IF(is_cat, _xlfn.NUMBERVALUE(tracked_rank &amp; budget_rank), "")</f>
        <v/>
      </c>
      <c r="T30">
        <f> IF(is_cat, ADDRESS(sort_min_row, COLUMN(comb_rank)) &amp; ":" &amp; ADDRESS(sort_max_row, COLUMN(comb_rank)), "")</f>
        <v/>
      </c>
      <c r="U30">
        <f>IF(is_cat, RANK(comb_rank, INDIRECT(comb_rank_range), 1), "")</f>
        <v/>
      </c>
      <c r="V30">
        <f> IF(is_cat, ADDRESS(sort_min_row, COLUMN(comb_rank_norm)) &amp; ":" &amp; ADDRESS(ROW(), COLUMN(comb_rank_norm)), "")</f>
        <v/>
      </c>
      <c r="W30" s="36">
        <f> IF(is_cat, comb_rank_norm + COUNTIF(INDIRECT(comb_rank_norm_run_range), comb_rank_norm)-1, "")</f>
        <v/>
      </c>
      <c r="X30" s="68">
        <f> IF(is_cat, header_row_id + comb_rank_unique, row_id)</f>
        <v/>
      </c>
      <c r="Y30" s="70">
        <f> IF(is_empty, "", INDEX($J:$J, MATCH(row_id, $X:$X, 0)))</f>
        <v/>
      </c>
      <c r="Z30" s="72">
        <f> IF(is_empty, "", IF(is_header, "Tracked", INDEX($K:$K, MATCH(row_id, $X:$X, 0))))</f>
        <v/>
      </c>
      <c r="AA30" s="72">
        <f> IF(is_empty, "", IF(is_header, "Budget", INDEX($L:$L, MATCH(row_id, $X:$X, 0))))</f>
        <v/>
      </c>
      <c r="AB30" s="71">
        <f> IF(is_empty, "", IF(is_header, "% Compl.", IFERROR(out_tracked / out_budget, "-")))</f>
        <v/>
      </c>
      <c r="AC30" s="72">
        <f> IF(is_empty, "", IF(is_header, "Remaining", IF(out_budget - out_tracked &gt; 0, out_budget - out_tracked, 0)))</f>
        <v/>
      </c>
      <c r="AD30" s="72">
        <f> IF(is_empty, "", IF(is_header, "Excess", IF(out_budget - out_tracked &lt; 0, out_tracked - out_budget, 0)))</f>
        <v/>
      </c>
      <c r="AF30" s="33" t="n"/>
      <c r="AI30" s="83">
        <f> Calculation!I35</f>
        <v/>
      </c>
      <c r="AJ30" s="86">
        <f> Calculation!J35</f>
        <v/>
      </c>
      <c r="AK30" s="36" t="n"/>
      <c r="AM30" s="33" t="n"/>
      <c r="AP30" s="83">
        <f> Calculation!M35</f>
        <v/>
      </c>
      <c r="AQ30" s="86">
        <f> Calculation!N35</f>
        <v/>
      </c>
      <c r="AR30" s="36" t="n"/>
    </row>
    <row r="31">
      <c r="C31" s="33">
        <f t="array" ref="C31">IF(C30=-1,-1,
IF(C30&lt;income_max_row,C30+1,
IF(C30=income_max_row,income_total_row,
IF(C30=income_total_row,"/1",
IF(C30="/1",expenses_header_row,
IF(C30&lt;expenses_max_row,C30+1,
IF(C30=expenses_max_row,expenses_total_row,
IF(C30=expenses_total_row, "/2",
IF(C30="/2", savings_header_row,
IF(C30&lt;savings_max_row, C30+1,
IF(C30=savings_max_row, savings_total_row,
-1)))))))))))</f>
        <v/>
      </c>
      <c r="D31" s="36">
        <f> IF(is_header, row_id,
IF(NOT(is_empty), D30, -1))</f>
        <v/>
      </c>
      <c r="E31" s="33">
        <f t="array" ref="E31"> OR(row_id=income_header_row, row_id=expenses_header_row, row_id=savings_header_row) * 1</f>
        <v/>
      </c>
      <c r="F31">
        <f> 1 * NOT(OR(is_header, is_total, is_empty))</f>
        <v/>
      </c>
      <c r="G31">
        <f t="array" ref="G31"> OR(row_id=income_total_row, row_id=expenses_total_row, row_id=savings_total_row) * 1</f>
        <v/>
      </c>
      <c r="H31" s="36">
        <f> OR(row_id="/1", row_id="/2", row_id=-1)*1</f>
        <v/>
      </c>
      <c r="I31" s="33">
        <f t="array" ref="I31"> IFERROR(INDEX('Budget Planning'!$C:$C, header_row_id), "")</f>
        <v/>
      </c>
      <c r="J31">
        <f t="array" ref="J31"> IFERROR(INDEX('Budget Planning'!$C:$C, row_id), "")</f>
        <v/>
      </c>
      <c r="K31" s="65">
        <f t="array" ref="K31"> 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31" s="66">
        <f t="array" ref="L31"> IF(OR(is_header, is_empty), "",
         INDEX('Budget Planning'!$E:$EM, row_id,
                  MATCH(IF(selected_period="Total Year", selected_year, DATE(selected_year, selected_period, 1)), 'Budget Planning'!$E$9:$EM$9, 0)))</f>
        <v/>
      </c>
      <c r="M31" s="33">
        <f t="array" ref="M31">IF(is_cat,
        IF(header_row_id=income_header_row, MATCH(income_min_row, $C:$C, 0),
                 IF(header_row_id=expenses_header_row, MATCH(expenses_min_row, $C:$C, 0),
                          IF(header_row_id=savings_header_row, MATCH(savings_min_row, $C:$C, 0), ""))), "")</f>
        <v/>
      </c>
      <c r="N31" s="36">
        <f t="array" ref="N31">IF(is_cat,
        IF(header_row_id=income_header_row, MATCH(income_max_row, $C:$C, 0),
                 IF(header_row_id=expenses_header_row, MATCH(expenses_max_row, $C:$C, 0),
                          IF(header_row_id=savings_header_row, MATCH(savings_max_row, $C:$C, 0), ""))), "")</f>
        <v/>
      </c>
      <c r="O31" s="33">
        <f> IF(is_cat, ADDRESS(sort_min_row, COLUMN(tracked)) &amp; ":" &amp; ADDRESS(sort_max_row, COLUMN(tracked)), "")</f>
        <v/>
      </c>
      <c r="P31">
        <f> IF(is_cat, RANK(tracked, INDIRECT(tracked_range), 0), "")</f>
        <v/>
      </c>
      <c r="Q31">
        <f> IF(is_cat, ADDRESS(sort_min_row, COLUMN(budget)) &amp; ":" &amp; ADDRESS(sort_max_row, COLUMN(budget)), "")</f>
        <v/>
      </c>
      <c r="R31" s="36">
        <f> IF(is_cat, RANK(budget, INDIRECT(budget_range), 0), "")</f>
        <v/>
      </c>
      <c r="S31" s="33">
        <f> IF(is_cat, _xlfn.NUMBERVALUE(tracked_rank &amp; budget_rank), "")</f>
        <v/>
      </c>
      <c r="T31">
        <f> IF(is_cat, ADDRESS(sort_min_row, COLUMN(comb_rank)) &amp; ":" &amp; ADDRESS(sort_max_row, COLUMN(comb_rank)), "")</f>
        <v/>
      </c>
      <c r="U31">
        <f>IF(is_cat, RANK(comb_rank, INDIRECT(comb_rank_range), 1), "")</f>
        <v/>
      </c>
      <c r="V31">
        <f> IF(is_cat, ADDRESS(sort_min_row, COLUMN(comb_rank_norm)) &amp; ":" &amp; ADDRESS(ROW(), COLUMN(comb_rank_norm)), "")</f>
        <v/>
      </c>
      <c r="W31" s="36">
        <f> IF(is_cat, comb_rank_norm + COUNTIF(INDIRECT(comb_rank_norm_run_range), comb_rank_norm)-1, "")</f>
        <v/>
      </c>
      <c r="X31" s="68">
        <f> IF(is_cat, header_row_id + comb_rank_unique, row_id)</f>
        <v/>
      </c>
      <c r="Y31" s="70">
        <f> IF(is_empty, "", INDEX($J:$J, MATCH(row_id, $X:$X, 0)))</f>
        <v/>
      </c>
      <c r="Z31" s="72">
        <f> IF(is_empty, "", IF(is_header, "Tracked", INDEX($K:$K, MATCH(row_id, $X:$X, 0))))</f>
        <v/>
      </c>
      <c r="AA31" s="72">
        <f> IF(is_empty, "", IF(is_header, "Budget", INDEX($L:$L, MATCH(row_id, $X:$X, 0))))</f>
        <v/>
      </c>
      <c r="AB31" s="71">
        <f> IF(is_empty, "", IF(is_header, "% Compl.", IFERROR(out_tracked / out_budget, "-")))</f>
        <v/>
      </c>
      <c r="AC31" s="72">
        <f> IF(is_empty, "", IF(is_header, "Remaining", IF(out_budget - out_tracked &gt; 0, out_budget - out_tracked, 0)))</f>
        <v/>
      </c>
      <c r="AD31" s="72">
        <f> IF(is_empty, "", IF(is_header, "Excess", IF(out_budget - out_tracked &lt; 0, out_tracked - out_budget, 0)))</f>
        <v/>
      </c>
      <c r="AF31" s="33" t="n"/>
      <c r="AI31" s="83">
        <f> Calculation!I36</f>
        <v/>
      </c>
      <c r="AJ31" s="86">
        <f> Calculation!J36</f>
        <v/>
      </c>
      <c r="AK31" s="36" t="n"/>
      <c r="AM31" s="33" t="n"/>
      <c r="AP31" s="83">
        <f> Calculation!M36</f>
        <v/>
      </c>
      <c r="AQ31" s="86">
        <f> Calculation!N36</f>
        <v/>
      </c>
      <c r="AR31" s="36" t="n"/>
    </row>
    <row r="32">
      <c r="C32" s="33">
        <f t="array" ref="C32">IF(C31=-1,-1,
IF(C31&lt;income_max_row,C31+1,
IF(C31=income_max_row,income_total_row,
IF(C31=income_total_row,"/1",
IF(C31="/1",expenses_header_row,
IF(C31&lt;expenses_max_row,C31+1,
IF(C31=expenses_max_row,expenses_total_row,
IF(C31=expenses_total_row, "/2",
IF(C31="/2", savings_header_row,
IF(C31&lt;savings_max_row, C31+1,
IF(C31=savings_max_row, savings_total_row,
-1)))))))))))</f>
        <v/>
      </c>
      <c r="D32" s="36">
        <f> IF(is_header, row_id,
IF(NOT(is_empty), D31, -1))</f>
        <v/>
      </c>
      <c r="E32" s="33">
        <f t="array" ref="E32"> OR(row_id=income_header_row, row_id=expenses_header_row, row_id=savings_header_row) * 1</f>
        <v/>
      </c>
      <c r="F32">
        <f> 1 * NOT(OR(is_header, is_total, is_empty))</f>
        <v/>
      </c>
      <c r="G32">
        <f t="array" ref="G32"> OR(row_id=income_total_row, row_id=expenses_total_row, row_id=savings_total_row) * 1</f>
        <v/>
      </c>
      <c r="H32" s="36">
        <f> OR(row_id="/1", row_id="/2", row_id=-1)*1</f>
        <v/>
      </c>
      <c r="I32" s="33">
        <f t="array" ref="I32"> IFERROR(INDEX('Budget Planning'!$C:$C, header_row_id), "")</f>
        <v/>
      </c>
      <c r="J32">
        <f t="array" ref="J32"> IFERROR(INDEX('Budget Planning'!$C:$C, row_id), "")</f>
        <v/>
      </c>
      <c r="K32" s="65">
        <f t="array" ref="K32"> 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32" s="66">
        <f t="array" ref="L32"> IF(OR(is_header, is_empty), "",
         INDEX('Budget Planning'!$E:$EM, row_id,
                  MATCH(IF(selected_period="Total Year", selected_year, DATE(selected_year, selected_period, 1)), 'Budget Planning'!$E$9:$EM$9, 0)))</f>
        <v/>
      </c>
      <c r="M32" s="33">
        <f t="array" ref="M32">IF(is_cat,
        IF(header_row_id=income_header_row, MATCH(income_min_row, $C:$C, 0),
                 IF(header_row_id=expenses_header_row, MATCH(expenses_min_row, $C:$C, 0),
                          IF(header_row_id=savings_header_row, MATCH(savings_min_row, $C:$C, 0), ""))), "")</f>
        <v/>
      </c>
      <c r="N32" s="36">
        <f t="array" ref="N32">IF(is_cat,
        IF(header_row_id=income_header_row, MATCH(income_max_row, $C:$C, 0),
                 IF(header_row_id=expenses_header_row, MATCH(expenses_max_row, $C:$C, 0),
                          IF(header_row_id=savings_header_row, MATCH(savings_max_row, $C:$C, 0), ""))), "")</f>
        <v/>
      </c>
      <c r="O32" s="33">
        <f> IF(is_cat, ADDRESS(sort_min_row, COLUMN(tracked)) &amp; ":" &amp; ADDRESS(sort_max_row, COLUMN(tracked)), "")</f>
        <v/>
      </c>
      <c r="P32">
        <f> IF(is_cat, RANK(tracked, INDIRECT(tracked_range), 0), "")</f>
        <v/>
      </c>
      <c r="Q32">
        <f> IF(is_cat, ADDRESS(sort_min_row, COLUMN(budget)) &amp; ":" &amp; ADDRESS(sort_max_row, COLUMN(budget)), "")</f>
        <v/>
      </c>
      <c r="R32" s="36">
        <f> IF(is_cat, RANK(budget, INDIRECT(budget_range), 0), "")</f>
        <v/>
      </c>
      <c r="S32" s="33">
        <f> IF(is_cat, _xlfn.NUMBERVALUE(tracked_rank &amp; budget_rank), "")</f>
        <v/>
      </c>
      <c r="T32">
        <f> IF(is_cat, ADDRESS(sort_min_row, COLUMN(comb_rank)) &amp; ":" &amp; ADDRESS(sort_max_row, COLUMN(comb_rank)), "")</f>
        <v/>
      </c>
      <c r="U32">
        <f>IF(is_cat, RANK(comb_rank, INDIRECT(comb_rank_range), 1), "")</f>
        <v/>
      </c>
      <c r="V32">
        <f> IF(is_cat, ADDRESS(sort_min_row, COLUMN(comb_rank_norm)) &amp; ":" &amp; ADDRESS(ROW(), COLUMN(comb_rank_norm)), "")</f>
        <v/>
      </c>
      <c r="W32" s="36">
        <f> IF(is_cat, comb_rank_norm + COUNTIF(INDIRECT(comb_rank_norm_run_range), comb_rank_norm)-1, "")</f>
        <v/>
      </c>
      <c r="X32" s="68">
        <f> IF(is_cat, header_row_id + comb_rank_unique, row_id)</f>
        <v/>
      </c>
      <c r="Y32" s="70">
        <f> IF(is_empty, "", INDEX($J:$J, MATCH(row_id, $X:$X, 0)))</f>
        <v/>
      </c>
      <c r="Z32" s="72">
        <f> IF(is_empty, "", IF(is_header, "Tracked", INDEX($K:$K, MATCH(row_id, $X:$X, 0))))</f>
        <v/>
      </c>
      <c r="AA32" s="72">
        <f> IF(is_empty, "", IF(is_header, "Budget", INDEX($L:$L, MATCH(row_id, $X:$X, 0))))</f>
        <v/>
      </c>
      <c r="AB32" s="71">
        <f> IF(is_empty, "", IF(is_header, "% Compl.", IFERROR(out_tracked / out_budget, "-")))</f>
        <v/>
      </c>
      <c r="AC32" s="72">
        <f> IF(is_empty, "", IF(is_header, "Remaining", IF(out_budget - out_tracked &gt; 0, out_budget - out_tracked, 0)))</f>
        <v/>
      </c>
      <c r="AD32" s="72">
        <f> IF(is_empty, "", IF(is_header, "Excess", IF(out_budget - out_tracked &lt; 0, out_tracked - out_budget, 0)))</f>
        <v/>
      </c>
      <c r="AF32" s="33" t="n"/>
      <c r="AI32" s="83">
        <f> Calculation!I37</f>
        <v/>
      </c>
      <c r="AJ32" s="86">
        <f> Calculation!J37</f>
        <v/>
      </c>
      <c r="AK32" s="36" t="n"/>
      <c r="AM32" s="33" t="n"/>
      <c r="AP32" s="83">
        <f> Calculation!M37</f>
        <v/>
      </c>
      <c r="AQ32" s="86">
        <f> Calculation!N37</f>
        <v/>
      </c>
      <c r="AR32" s="36" t="n"/>
    </row>
    <row r="33">
      <c r="C33" s="33">
        <f t="array" ref="C33">IF(C32=-1,-1,
IF(C32&lt;income_max_row,C32+1,
IF(C32=income_max_row,income_total_row,
IF(C32=income_total_row,"/1",
IF(C32="/1",expenses_header_row,
IF(C32&lt;expenses_max_row,C32+1,
IF(C32=expenses_max_row,expenses_total_row,
IF(C32=expenses_total_row, "/2",
IF(C32="/2", savings_header_row,
IF(C32&lt;savings_max_row, C32+1,
IF(C32=savings_max_row, savings_total_row,
-1)))))))))))</f>
        <v/>
      </c>
      <c r="D33" s="36">
        <f> IF(is_header, row_id,
IF(NOT(is_empty), D32, -1))</f>
        <v/>
      </c>
      <c r="E33" s="33">
        <f t="array" ref="E33"> OR(row_id=income_header_row, row_id=expenses_header_row, row_id=savings_header_row) * 1</f>
        <v/>
      </c>
      <c r="F33">
        <f> 1 * NOT(OR(is_header, is_total, is_empty))</f>
        <v/>
      </c>
      <c r="G33">
        <f t="array" ref="G33"> OR(row_id=income_total_row, row_id=expenses_total_row, row_id=savings_total_row) * 1</f>
        <v/>
      </c>
      <c r="H33" s="36">
        <f> OR(row_id="/1", row_id="/2", row_id=-1)*1</f>
        <v/>
      </c>
      <c r="I33" s="33">
        <f t="array" ref="I33"> IFERROR(INDEX('Budget Planning'!$C:$C, header_row_id), "")</f>
        <v/>
      </c>
      <c r="J33">
        <f t="array" ref="J33"> IFERROR(INDEX('Budget Planning'!$C:$C, row_id), "")</f>
        <v/>
      </c>
      <c r="K33" s="65">
        <f t="array" ref="K33"> 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33" s="66">
        <f t="array" ref="L33"> IF(OR(is_header, is_empty), "",
         INDEX('Budget Planning'!$E:$EM, row_id,
                  MATCH(IF(selected_period="Total Year", selected_year, DATE(selected_year, selected_period, 1)), 'Budget Planning'!$E$9:$EM$9, 0)))</f>
        <v/>
      </c>
      <c r="M33" s="33">
        <f t="array" ref="M33">IF(is_cat,
        IF(header_row_id=income_header_row, MATCH(income_min_row, $C:$C, 0),
                 IF(header_row_id=expenses_header_row, MATCH(expenses_min_row, $C:$C, 0),
                          IF(header_row_id=savings_header_row, MATCH(savings_min_row, $C:$C, 0), ""))), "")</f>
        <v/>
      </c>
      <c r="N33" s="36">
        <f t="array" ref="N33">IF(is_cat,
        IF(header_row_id=income_header_row, MATCH(income_max_row, $C:$C, 0),
                 IF(header_row_id=expenses_header_row, MATCH(expenses_max_row, $C:$C, 0),
                          IF(header_row_id=savings_header_row, MATCH(savings_max_row, $C:$C, 0), ""))), "")</f>
        <v/>
      </c>
      <c r="O33" s="33">
        <f> IF(is_cat, ADDRESS(sort_min_row, COLUMN(tracked)) &amp; ":" &amp; ADDRESS(sort_max_row, COLUMN(tracked)), "")</f>
        <v/>
      </c>
      <c r="P33">
        <f> IF(is_cat, RANK(tracked, INDIRECT(tracked_range), 0), "")</f>
        <v/>
      </c>
      <c r="Q33">
        <f> IF(is_cat, ADDRESS(sort_min_row, COLUMN(budget)) &amp; ":" &amp; ADDRESS(sort_max_row, COLUMN(budget)), "")</f>
        <v/>
      </c>
      <c r="R33" s="36">
        <f> IF(is_cat, RANK(budget, INDIRECT(budget_range), 0), "")</f>
        <v/>
      </c>
      <c r="S33" s="33">
        <f> IF(is_cat, _xlfn.NUMBERVALUE(tracked_rank &amp; budget_rank), "")</f>
        <v/>
      </c>
      <c r="T33">
        <f> IF(is_cat, ADDRESS(sort_min_row, COLUMN(comb_rank)) &amp; ":" &amp; ADDRESS(sort_max_row, COLUMN(comb_rank)), "")</f>
        <v/>
      </c>
      <c r="U33">
        <f>IF(is_cat, RANK(comb_rank, INDIRECT(comb_rank_range), 1), "")</f>
        <v/>
      </c>
      <c r="V33">
        <f> IF(is_cat, ADDRESS(sort_min_row, COLUMN(comb_rank_norm)) &amp; ":" &amp; ADDRESS(ROW(), COLUMN(comb_rank_norm)), "")</f>
        <v/>
      </c>
      <c r="W33" s="36">
        <f> IF(is_cat, comb_rank_norm + COUNTIF(INDIRECT(comb_rank_norm_run_range), comb_rank_norm)-1, "")</f>
        <v/>
      </c>
      <c r="X33" s="68">
        <f> IF(is_cat, header_row_id + comb_rank_unique, row_id)</f>
        <v/>
      </c>
      <c r="Y33" s="70">
        <f> IF(is_empty, "", INDEX($J:$J, MATCH(row_id, $X:$X, 0)))</f>
        <v/>
      </c>
      <c r="Z33" s="72">
        <f> IF(is_empty, "", IF(is_header, "Tracked", INDEX($K:$K, MATCH(row_id, $X:$X, 0))))</f>
        <v/>
      </c>
      <c r="AA33" s="72">
        <f> IF(is_empty, "", IF(is_header, "Budget", INDEX($L:$L, MATCH(row_id, $X:$X, 0))))</f>
        <v/>
      </c>
      <c r="AB33" s="71">
        <f> IF(is_empty, "", IF(is_header, "% Compl.", IFERROR(out_tracked / out_budget, "-")))</f>
        <v/>
      </c>
      <c r="AC33" s="72">
        <f> IF(is_empty, "", IF(is_header, "Remaining", IF(out_budget - out_tracked &gt; 0, out_budget - out_tracked, 0)))</f>
        <v/>
      </c>
      <c r="AD33" s="72">
        <f> IF(is_empty, "", IF(is_header, "Excess", IF(out_budget - out_tracked &lt; 0, out_tracked - out_budget, 0)))</f>
        <v/>
      </c>
      <c r="AF33" s="33" t="n"/>
      <c r="AI33" s="83">
        <f> Calculation!I38</f>
        <v/>
      </c>
      <c r="AJ33" s="86">
        <f> Calculation!J38</f>
        <v/>
      </c>
      <c r="AK33" s="36" t="n"/>
      <c r="AM33" s="33" t="n"/>
      <c r="AP33" s="83">
        <f> Calculation!M38</f>
        <v/>
      </c>
      <c r="AQ33" s="86">
        <f> Calculation!N38</f>
        <v/>
      </c>
      <c r="AR33" s="36" t="n"/>
    </row>
    <row r="34">
      <c r="C34" s="33">
        <f t="array" ref="C34">IF(C33=-1,-1,
IF(C33&lt;income_max_row,C33+1,
IF(C33=income_max_row,income_total_row,
IF(C33=income_total_row,"/1",
IF(C33="/1",expenses_header_row,
IF(C33&lt;expenses_max_row,C33+1,
IF(C33=expenses_max_row,expenses_total_row,
IF(C33=expenses_total_row, "/2",
IF(C33="/2", savings_header_row,
IF(C33&lt;savings_max_row, C33+1,
IF(C33=savings_max_row, savings_total_row,
-1)))))))))))</f>
        <v/>
      </c>
      <c r="D34" s="36">
        <f> IF(is_header, row_id,
IF(NOT(is_empty), D33, -1))</f>
        <v/>
      </c>
      <c r="E34" s="33">
        <f t="array" ref="E34"> OR(row_id=income_header_row, row_id=expenses_header_row, row_id=savings_header_row) * 1</f>
        <v/>
      </c>
      <c r="F34">
        <f> 1 * NOT(OR(is_header, is_total, is_empty))</f>
        <v/>
      </c>
      <c r="G34">
        <f t="array" ref="G34"> OR(row_id=income_total_row, row_id=expenses_total_row, row_id=savings_total_row) * 1</f>
        <v/>
      </c>
      <c r="H34" s="36">
        <f> OR(row_id="/1", row_id="/2", row_id=-1)*1</f>
        <v/>
      </c>
      <c r="I34" s="33">
        <f t="array" ref="I34"> IFERROR(INDEX('Budget Planning'!$C:$C, header_row_id), "")</f>
        <v/>
      </c>
      <c r="J34">
        <f t="array" ref="J34"> IFERROR(INDEX('Budget Planning'!$C:$C, row_id), "")</f>
        <v/>
      </c>
      <c r="K34" s="65">
        <f t="array" ref="K34"> 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34" s="66">
        <f t="array" ref="L34"> IF(OR(is_header, is_empty), "",
         INDEX('Budget Planning'!$E:$EM, row_id,
                  MATCH(IF(selected_period="Total Year", selected_year, DATE(selected_year, selected_period, 1)), 'Budget Planning'!$E$9:$EM$9, 0)))</f>
        <v/>
      </c>
      <c r="M34" s="33">
        <f t="array" ref="M34">IF(is_cat,
        IF(header_row_id=income_header_row, MATCH(income_min_row, $C:$C, 0),
                 IF(header_row_id=expenses_header_row, MATCH(expenses_min_row, $C:$C, 0),
                          IF(header_row_id=savings_header_row, MATCH(savings_min_row, $C:$C, 0), ""))), "")</f>
        <v/>
      </c>
      <c r="N34" s="36">
        <f t="array" ref="N34">IF(is_cat,
        IF(header_row_id=income_header_row, MATCH(income_max_row, $C:$C, 0),
                 IF(header_row_id=expenses_header_row, MATCH(expenses_max_row, $C:$C, 0),
                          IF(header_row_id=savings_header_row, MATCH(savings_max_row, $C:$C, 0), ""))), "")</f>
        <v/>
      </c>
      <c r="O34" s="33">
        <f> IF(is_cat, ADDRESS(sort_min_row, COLUMN(tracked)) &amp; ":" &amp; ADDRESS(sort_max_row, COLUMN(tracked)), "")</f>
        <v/>
      </c>
      <c r="P34">
        <f> IF(is_cat, RANK(tracked, INDIRECT(tracked_range), 0), "")</f>
        <v/>
      </c>
      <c r="Q34">
        <f> IF(is_cat, ADDRESS(sort_min_row, COLUMN(budget)) &amp; ":" &amp; ADDRESS(sort_max_row, COLUMN(budget)), "")</f>
        <v/>
      </c>
      <c r="R34" s="36">
        <f> IF(is_cat, RANK(budget, INDIRECT(budget_range), 0), "")</f>
        <v/>
      </c>
      <c r="S34" s="33">
        <f> IF(is_cat, _xlfn.NUMBERVALUE(tracked_rank &amp; budget_rank), "")</f>
        <v/>
      </c>
      <c r="T34">
        <f> IF(is_cat, ADDRESS(sort_min_row, COLUMN(comb_rank)) &amp; ":" &amp; ADDRESS(sort_max_row, COLUMN(comb_rank)), "")</f>
        <v/>
      </c>
      <c r="U34">
        <f>IF(is_cat, RANK(comb_rank, INDIRECT(comb_rank_range), 1), "")</f>
        <v/>
      </c>
      <c r="V34">
        <f> IF(is_cat, ADDRESS(sort_min_row, COLUMN(comb_rank_norm)) &amp; ":" &amp; ADDRESS(ROW(), COLUMN(comb_rank_norm)), "")</f>
        <v/>
      </c>
      <c r="W34" s="36">
        <f> IF(is_cat, comb_rank_norm + COUNTIF(INDIRECT(comb_rank_norm_run_range), comb_rank_norm)-1, "")</f>
        <v/>
      </c>
      <c r="X34" s="68">
        <f> IF(is_cat, header_row_id + comb_rank_unique, row_id)</f>
        <v/>
      </c>
      <c r="Y34" s="70">
        <f> IF(is_empty, "", INDEX($J:$J, MATCH(row_id, $X:$X, 0)))</f>
        <v/>
      </c>
      <c r="Z34" s="72">
        <f> IF(is_empty, "", IF(is_header, "Tracked", INDEX($K:$K, MATCH(row_id, $X:$X, 0))))</f>
        <v/>
      </c>
      <c r="AA34" s="72">
        <f> IF(is_empty, "", IF(is_header, "Budget", INDEX($L:$L, MATCH(row_id, $X:$X, 0))))</f>
        <v/>
      </c>
      <c r="AB34" s="71">
        <f> IF(is_empty, "", IF(is_header, "% Compl.", IFERROR(out_tracked / out_budget, "-")))</f>
        <v/>
      </c>
      <c r="AC34" s="72">
        <f> IF(is_empty, "", IF(is_header, "Remaining", IF(out_budget - out_tracked &gt; 0, out_budget - out_tracked, 0)))</f>
        <v/>
      </c>
      <c r="AD34" s="72">
        <f> IF(is_empty, "", IF(is_header, "Excess", IF(out_budget - out_tracked &lt; 0, out_tracked - out_budget, 0)))</f>
        <v/>
      </c>
      <c r="AF34" s="33" t="n"/>
      <c r="AI34" s="83">
        <f> Calculation!I39</f>
        <v/>
      </c>
      <c r="AJ34" s="86">
        <f> Calculation!J39</f>
        <v/>
      </c>
      <c r="AK34" s="36" t="n"/>
      <c r="AM34" s="33" t="n"/>
      <c r="AP34" s="83">
        <f> Calculation!M39</f>
        <v/>
      </c>
      <c r="AQ34" s="86">
        <f> Calculation!N39</f>
        <v/>
      </c>
      <c r="AR34" s="36" t="n"/>
    </row>
    <row r="35">
      <c r="C35" s="33">
        <f t="array" ref="C35">IF(C34=-1,-1,
IF(C34&lt;income_max_row,C34+1,
IF(C34=income_max_row,income_total_row,
IF(C34=income_total_row,"/1",
IF(C34="/1",expenses_header_row,
IF(C34&lt;expenses_max_row,C34+1,
IF(C34=expenses_max_row,expenses_total_row,
IF(C34=expenses_total_row, "/2",
IF(C34="/2", savings_header_row,
IF(C34&lt;savings_max_row, C34+1,
IF(C34=savings_max_row, savings_total_row,
-1)))))))))))</f>
        <v/>
      </c>
      <c r="D35" s="36">
        <f> IF(is_header, row_id,
IF(NOT(is_empty), D34, -1))</f>
        <v/>
      </c>
      <c r="E35" s="33">
        <f t="array" ref="E35"> OR(row_id=income_header_row, row_id=expenses_header_row, row_id=savings_header_row) * 1</f>
        <v/>
      </c>
      <c r="F35">
        <f> 1 * NOT(OR(is_header, is_total, is_empty))</f>
        <v/>
      </c>
      <c r="G35">
        <f t="array" ref="G35"> OR(row_id=income_total_row, row_id=expenses_total_row, row_id=savings_total_row) * 1</f>
        <v/>
      </c>
      <c r="H35" s="36">
        <f> OR(row_id="/1", row_id="/2", row_id=-1)*1</f>
        <v/>
      </c>
      <c r="I35" s="33">
        <f t="array" ref="I35"> IFERROR(INDEX('Budget Planning'!$C:$C, header_row_id), "")</f>
        <v/>
      </c>
      <c r="J35">
        <f t="array" ref="J35"> IFERROR(INDEX('Budget Planning'!$C:$C, row_id), "")</f>
        <v/>
      </c>
      <c r="K35" s="65">
        <f t="array" ref="K35"> 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35" s="66">
        <f t="array" ref="L35"> IF(OR(is_header, is_empty), "",
         INDEX('Budget Planning'!$E:$EM, row_id,
                  MATCH(IF(selected_period="Total Year", selected_year, DATE(selected_year, selected_period, 1)), 'Budget Planning'!$E$9:$EM$9, 0)))</f>
        <v/>
      </c>
      <c r="M35" s="33">
        <f t="array" ref="M35">IF(is_cat,
        IF(header_row_id=income_header_row, MATCH(income_min_row, $C:$C, 0),
                 IF(header_row_id=expenses_header_row, MATCH(expenses_min_row, $C:$C, 0),
                          IF(header_row_id=savings_header_row, MATCH(savings_min_row, $C:$C, 0), ""))), "")</f>
        <v/>
      </c>
      <c r="N35" s="36">
        <f t="array" ref="N35">IF(is_cat,
        IF(header_row_id=income_header_row, MATCH(income_max_row, $C:$C, 0),
                 IF(header_row_id=expenses_header_row, MATCH(expenses_max_row, $C:$C, 0),
                          IF(header_row_id=savings_header_row, MATCH(savings_max_row, $C:$C, 0), ""))), "")</f>
        <v/>
      </c>
      <c r="O35" s="33">
        <f> IF(is_cat, ADDRESS(sort_min_row, COLUMN(tracked)) &amp; ":" &amp; ADDRESS(sort_max_row, COLUMN(tracked)), "")</f>
        <v/>
      </c>
      <c r="P35">
        <f> IF(is_cat, RANK(tracked, INDIRECT(tracked_range), 0), "")</f>
        <v/>
      </c>
      <c r="Q35">
        <f> IF(is_cat, ADDRESS(sort_min_row, COLUMN(budget)) &amp; ":" &amp; ADDRESS(sort_max_row, COLUMN(budget)), "")</f>
        <v/>
      </c>
      <c r="R35" s="36">
        <f> IF(is_cat, RANK(budget, INDIRECT(budget_range), 0), "")</f>
        <v/>
      </c>
      <c r="S35" s="33">
        <f> IF(is_cat, _xlfn.NUMBERVALUE(tracked_rank &amp; budget_rank), "")</f>
        <v/>
      </c>
      <c r="T35">
        <f> IF(is_cat, ADDRESS(sort_min_row, COLUMN(comb_rank)) &amp; ":" &amp; ADDRESS(sort_max_row, COLUMN(comb_rank)), "")</f>
        <v/>
      </c>
      <c r="U35">
        <f>IF(is_cat, RANK(comb_rank, INDIRECT(comb_rank_range), 1), "")</f>
        <v/>
      </c>
      <c r="V35">
        <f> IF(is_cat, ADDRESS(sort_min_row, COLUMN(comb_rank_norm)) &amp; ":" &amp; ADDRESS(ROW(), COLUMN(comb_rank_norm)), "")</f>
        <v/>
      </c>
      <c r="W35" s="36">
        <f> IF(is_cat, comb_rank_norm + COUNTIF(INDIRECT(comb_rank_norm_run_range), comb_rank_norm)-1, "")</f>
        <v/>
      </c>
      <c r="X35" s="68">
        <f> IF(is_cat, header_row_id + comb_rank_unique, row_id)</f>
        <v/>
      </c>
      <c r="Y35" s="70">
        <f> IF(is_empty, "", INDEX($J:$J, MATCH(row_id, $X:$X, 0)))</f>
        <v/>
      </c>
      <c r="Z35" s="72">
        <f> IF(is_empty, "", IF(is_header, "Tracked", INDEX($K:$K, MATCH(row_id, $X:$X, 0))))</f>
        <v/>
      </c>
      <c r="AA35" s="72">
        <f> IF(is_empty, "", IF(is_header, "Budget", INDEX($L:$L, MATCH(row_id, $X:$X, 0))))</f>
        <v/>
      </c>
      <c r="AB35" s="71">
        <f> IF(is_empty, "", IF(is_header, "% Compl.", IFERROR(out_tracked / out_budget, "-")))</f>
        <v/>
      </c>
      <c r="AC35" s="72">
        <f> IF(is_empty, "", IF(is_header, "Remaining", IF(out_budget - out_tracked &gt; 0, out_budget - out_tracked, 0)))</f>
        <v/>
      </c>
      <c r="AD35" s="72">
        <f> IF(is_empty, "", IF(is_header, "Excess", IF(out_budget - out_tracked &lt; 0, out_tracked - out_budget, 0)))</f>
        <v/>
      </c>
      <c r="AF35" s="33" t="n"/>
      <c r="AI35" s="83">
        <f> Calculation!I40</f>
        <v/>
      </c>
      <c r="AJ35" s="86">
        <f> Calculation!J40</f>
        <v/>
      </c>
      <c r="AK35" s="36" t="n"/>
      <c r="AM35" s="33" t="n"/>
      <c r="AP35" s="83">
        <f> Calculation!M40</f>
        <v/>
      </c>
      <c r="AQ35" s="86">
        <f> Calculation!N40</f>
        <v/>
      </c>
      <c r="AR35" s="36" t="n"/>
    </row>
    <row r="36">
      <c r="C36" s="33">
        <f t="array" ref="C36">IF(C35=-1,-1,
IF(C35&lt;income_max_row,C35+1,
IF(C35=income_max_row,income_total_row,
IF(C35=income_total_row,"/1",
IF(C35="/1",expenses_header_row,
IF(C35&lt;expenses_max_row,C35+1,
IF(C35=expenses_max_row,expenses_total_row,
IF(C35=expenses_total_row, "/2",
IF(C35="/2", savings_header_row,
IF(C35&lt;savings_max_row, C35+1,
IF(C35=savings_max_row, savings_total_row,
-1)))))))))))</f>
        <v/>
      </c>
      <c r="D36" s="36">
        <f> IF(is_header, row_id,
IF(NOT(is_empty), D35, -1))</f>
        <v/>
      </c>
      <c r="E36" s="33">
        <f t="array" ref="E36"> OR(row_id=income_header_row, row_id=expenses_header_row, row_id=savings_header_row) * 1</f>
        <v/>
      </c>
      <c r="F36">
        <f> 1 * NOT(OR(is_header, is_total, is_empty))</f>
        <v/>
      </c>
      <c r="G36">
        <f t="array" ref="G36"> OR(row_id=income_total_row, row_id=expenses_total_row, row_id=savings_total_row) * 1</f>
        <v/>
      </c>
      <c r="H36" s="36">
        <f> OR(row_id="/1", row_id="/2", row_id=-1)*1</f>
        <v/>
      </c>
      <c r="I36" s="33">
        <f t="array" ref="I36"> IFERROR(INDEX('Budget Planning'!$C:$C, header_row_id), "")</f>
        <v/>
      </c>
      <c r="J36">
        <f t="array" ref="J36"> IFERROR(INDEX('Budget Planning'!$C:$C, row_id), "")</f>
        <v/>
      </c>
      <c r="K36" s="65">
        <f t="array" ref="K36"> 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36" s="66">
        <f t="array" ref="L36"> IF(OR(is_header, is_empty), "",
         INDEX('Budget Planning'!$E:$EM, row_id,
                  MATCH(IF(selected_period="Total Year", selected_year, DATE(selected_year, selected_period, 1)), 'Budget Planning'!$E$9:$EM$9, 0)))</f>
        <v/>
      </c>
      <c r="M36" s="33">
        <f t="array" ref="M36">IF(is_cat,
        IF(header_row_id=income_header_row, MATCH(income_min_row, $C:$C, 0),
                 IF(header_row_id=expenses_header_row, MATCH(expenses_min_row, $C:$C, 0),
                          IF(header_row_id=savings_header_row, MATCH(savings_min_row, $C:$C, 0), ""))), "")</f>
        <v/>
      </c>
      <c r="N36" s="36">
        <f t="array" ref="N36">IF(is_cat,
        IF(header_row_id=income_header_row, MATCH(income_max_row, $C:$C, 0),
                 IF(header_row_id=expenses_header_row, MATCH(expenses_max_row, $C:$C, 0),
                          IF(header_row_id=savings_header_row, MATCH(savings_max_row, $C:$C, 0), ""))), "")</f>
        <v/>
      </c>
      <c r="O36" s="33">
        <f> IF(is_cat, ADDRESS(sort_min_row, COLUMN(tracked)) &amp; ":" &amp; ADDRESS(sort_max_row, COLUMN(tracked)), "")</f>
        <v/>
      </c>
      <c r="P36">
        <f> IF(is_cat, RANK(tracked, INDIRECT(tracked_range), 0), "")</f>
        <v/>
      </c>
      <c r="Q36">
        <f> IF(is_cat, ADDRESS(sort_min_row, COLUMN(budget)) &amp; ":" &amp; ADDRESS(sort_max_row, COLUMN(budget)), "")</f>
        <v/>
      </c>
      <c r="R36" s="36">
        <f> IF(is_cat, RANK(budget, INDIRECT(budget_range), 0), "")</f>
        <v/>
      </c>
      <c r="S36" s="33">
        <f> IF(is_cat, _xlfn.NUMBERVALUE(tracked_rank &amp; budget_rank), "")</f>
        <v/>
      </c>
      <c r="T36">
        <f> IF(is_cat, ADDRESS(sort_min_row, COLUMN(comb_rank)) &amp; ":" &amp; ADDRESS(sort_max_row, COLUMN(comb_rank)), "")</f>
        <v/>
      </c>
      <c r="U36">
        <f>IF(is_cat, RANK(comb_rank, INDIRECT(comb_rank_range), 1), "")</f>
        <v/>
      </c>
      <c r="V36">
        <f> IF(is_cat, ADDRESS(sort_min_row, COLUMN(comb_rank_norm)) &amp; ":" &amp; ADDRESS(ROW(), COLUMN(comb_rank_norm)), "")</f>
        <v/>
      </c>
      <c r="W36" s="36">
        <f> IF(is_cat, comb_rank_norm + COUNTIF(INDIRECT(comb_rank_norm_run_range), comb_rank_norm)-1, "")</f>
        <v/>
      </c>
      <c r="X36" s="68">
        <f> IF(is_cat, header_row_id + comb_rank_unique, row_id)</f>
        <v/>
      </c>
      <c r="Y36" s="70">
        <f> IF(is_empty, "", INDEX($J:$J, MATCH(row_id, $X:$X, 0)))</f>
        <v/>
      </c>
      <c r="Z36" s="72">
        <f> IF(is_empty, "", IF(is_header, "Tracked", INDEX($K:$K, MATCH(row_id, $X:$X, 0))))</f>
        <v/>
      </c>
      <c r="AA36" s="72">
        <f> IF(is_empty, "", IF(is_header, "Budget", INDEX($L:$L, MATCH(row_id, $X:$X, 0))))</f>
        <v/>
      </c>
      <c r="AB36" s="71">
        <f> IF(is_empty, "", IF(is_header, "% Compl.", IFERROR(out_tracked / out_budget, "-")))</f>
        <v/>
      </c>
      <c r="AC36" s="72">
        <f> IF(is_empty, "", IF(is_header, "Remaining", IF(out_budget - out_tracked &gt; 0, out_budget - out_tracked, 0)))</f>
        <v/>
      </c>
      <c r="AD36" s="72">
        <f> IF(is_empty, "", IF(is_header, "Excess", IF(out_budget - out_tracked &lt; 0, out_tracked - out_budget, 0)))</f>
        <v/>
      </c>
      <c r="AF36" s="33" t="n"/>
      <c r="AI36" s="85">
        <f> Calculation!I41</f>
        <v/>
      </c>
      <c r="AJ36" s="87">
        <f> Calculation!J41</f>
        <v/>
      </c>
      <c r="AK36" s="36" t="n"/>
      <c r="AM36" s="33" t="n"/>
      <c r="AP36" s="85">
        <f> Calculation!M41</f>
        <v/>
      </c>
      <c r="AQ36" s="87">
        <f> Calculation!N41</f>
        <v/>
      </c>
      <c r="AR36" s="36" t="n"/>
    </row>
    <row r="37">
      <c r="C37" s="33">
        <f t="array" ref="C37">IF(C36=-1,-1,
IF(C36&lt;income_max_row,C36+1,
IF(C36=income_max_row,income_total_row,
IF(C36=income_total_row,"/1",
IF(C36="/1",expenses_header_row,
IF(C36&lt;expenses_max_row,C36+1,
IF(C36=expenses_max_row,expenses_total_row,
IF(C36=expenses_total_row, "/2",
IF(C36="/2", savings_header_row,
IF(C36&lt;savings_max_row, C36+1,
IF(C36=savings_max_row, savings_total_row,
-1)))))))))))</f>
        <v/>
      </c>
      <c r="D37" s="36">
        <f> IF(is_header, row_id,
IF(NOT(is_empty), D36, -1))</f>
        <v/>
      </c>
      <c r="E37" s="33">
        <f t="array" ref="E37"> OR(row_id=income_header_row, row_id=expenses_header_row, row_id=savings_header_row) * 1</f>
        <v/>
      </c>
      <c r="F37">
        <f> 1 * NOT(OR(is_header, is_total, is_empty))</f>
        <v/>
      </c>
      <c r="G37">
        <f t="array" ref="G37"> OR(row_id=income_total_row, row_id=expenses_total_row, row_id=savings_total_row) * 1</f>
        <v/>
      </c>
      <c r="H37" s="36">
        <f> OR(row_id="/1", row_id="/2", row_id=-1)*1</f>
        <v/>
      </c>
      <c r="I37" s="33">
        <f t="array" ref="I37"> IFERROR(INDEX('Budget Planning'!$C:$C, header_row_id), "")</f>
        <v/>
      </c>
      <c r="J37">
        <f t="array" ref="J37"> IFERROR(INDEX('Budget Planning'!$C:$C, row_id), "")</f>
        <v/>
      </c>
      <c r="K37" s="65">
        <f t="array" ref="K37"> 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37" s="66">
        <f t="array" ref="L37"> IF(OR(is_header, is_empty), "",
         INDEX('Budget Planning'!$E:$EM, row_id,
                  MATCH(IF(selected_period="Total Year", selected_year, DATE(selected_year, selected_period, 1)), 'Budget Planning'!$E$9:$EM$9, 0)))</f>
        <v/>
      </c>
      <c r="M37" s="33">
        <f t="array" ref="M37">IF(is_cat,
        IF(header_row_id=income_header_row, MATCH(income_min_row, $C:$C, 0),
                 IF(header_row_id=expenses_header_row, MATCH(expenses_min_row, $C:$C, 0),
                          IF(header_row_id=savings_header_row, MATCH(savings_min_row, $C:$C, 0), ""))), "")</f>
        <v/>
      </c>
      <c r="N37" s="36">
        <f t="array" ref="N37">IF(is_cat,
        IF(header_row_id=income_header_row, MATCH(income_max_row, $C:$C, 0),
                 IF(header_row_id=expenses_header_row, MATCH(expenses_max_row, $C:$C, 0),
                          IF(header_row_id=savings_header_row, MATCH(savings_max_row, $C:$C, 0), ""))), "")</f>
        <v/>
      </c>
      <c r="O37" s="33">
        <f> IF(is_cat, ADDRESS(sort_min_row, COLUMN(tracked)) &amp; ":" &amp; ADDRESS(sort_max_row, COLUMN(tracked)), "")</f>
        <v/>
      </c>
      <c r="P37">
        <f> IF(is_cat, RANK(tracked, INDIRECT(tracked_range), 0), "")</f>
        <v/>
      </c>
      <c r="Q37">
        <f> IF(is_cat, ADDRESS(sort_min_row, COLUMN(budget)) &amp; ":" &amp; ADDRESS(sort_max_row, COLUMN(budget)), "")</f>
        <v/>
      </c>
      <c r="R37" s="36">
        <f> IF(is_cat, RANK(budget, INDIRECT(budget_range), 0), "")</f>
        <v/>
      </c>
      <c r="S37" s="33">
        <f> IF(is_cat, _xlfn.NUMBERVALUE(tracked_rank &amp; budget_rank), "")</f>
        <v/>
      </c>
      <c r="T37">
        <f> IF(is_cat, ADDRESS(sort_min_row, COLUMN(comb_rank)) &amp; ":" &amp; ADDRESS(sort_max_row, COLUMN(comb_rank)), "")</f>
        <v/>
      </c>
      <c r="U37">
        <f>IF(is_cat, RANK(comb_rank, INDIRECT(comb_rank_range), 1), "")</f>
        <v/>
      </c>
      <c r="V37">
        <f> IF(is_cat, ADDRESS(sort_min_row, COLUMN(comb_rank_norm)) &amp; ":" &amp; ADDRESS(ROW(), COLUMN(comb_rank_norm)), "")</f>
        <v/>
      </c>
      <c r="W37" s="36">
        <f> IF(is_cat, comb_rank_norm + COUNTIF(INDIRECT(comb_rank_norm_run_range), comb_rank_norm)-1, "")</f>
        <v/>
      </c>
      <c r="X37" s="68">
        <f> IF(is_cat, header_row_id + comb_rank_unique, row_id)</f>
        <v/>
      </c>
      <c r="Y37" s="69">
        <f> IF(is_empty, "", INDEX($J:$J, MATCH(row_id, $X:$X, 0)))</f>
        <v/>
      </c>
      <c r="Z37" s="72">
        <f> IF(is_empty, "", IF(is_header, "Tracked", INDEX($K:$K, MATCH(row_id, $X:$X, 0))))</f>
        <v/>
      </c>
      <c r="AA37" s="72">
        <f> IF(is_empty, "", IF(is_header, "Budget", INDEX($L:$L, MATCH(row_id, $X:$X, 0))))</f>
        <v/>
      </c>
      <c r="AB37" s="71">
        <f> IF(is_empty, "", IF(is_header, "% Compl.", IFERROR(out_tracked / out_budget, "-")))</f>
        <v/>
      </c>
      <c r="AC37" s="72">
        <f> IF(is_empty, "", IF(is_header, "Remaining", IF(out_budget - out_tracked &gt; 0, out_budget - out_tracked, 0)))</f>
        <v/>
      </c>
      <c r="AD37" s="73">
        <f> IF(is_empty, "", IF(is_header, "Excess", IF(out_budget - out_tracked &lt; 0, out_tracked - out_budget, 0)))</f>
        <v/>
      </c>
      <c r="AF37" s="33" t="n"/>
      <c r="AK37" s="36" t="n"/>
      <c r="AM37" s="33" t="n"/>
      <c r="AR37" s="36" t="n"/>
    </row>
    <row r="38">
      <c r="C38" s="33">
        <f t="array" ref="C38">IF(C37=-1,-1,
IF(C37&lt;income_max_row,C37+1,
IF(C37=income_max_row,income_total_row,
IF(C37=income_total_row,"/1",
IF(C37="/1",expenses_header_row,
IF(C37&lt;expenses_max_row,C37+1,
IF(C37=expenses_max_row,expenses_total_row,
IF(C37=expenses_total_row, "/2",
IF(C37="/2", savings_header_row,
IF(C37&lt;savings_max_row, C37+1,
IF(C37=savings_max_row, savings_total_row,
-1)))))))))))</f>
        <v/>
      </c>
      <c r="D38" s="36">
        <f> IF(is_header, row_id,
IF(NOT(is_empty), D37, -1))</f>
        <v/>
      </c>
      <c r="E38" s="33">
        <f t="array" ref="E38"> OR(row_id=income_header_row, row_id=expenses_header_row, row_id=savings_header_row) * 1</f>
        <v/>
      </c>
      <c r="F38">
        <f> 1 * NOT(OR(is_header, is_total, is_empty))</f>
        <v/>
      </c>
      <c r="G38">
        <f t="array" ref="G38"> OR(row_id=income_total_row, row_id=expenses_total_row, row_id=savings_total_row) * 1</f>
        <v/>
      </c>
      <c r="H38" s="36">
        <f> OR(row_id="/1", row_id="/2", row_id=-1)*1</f>
        <v/>
      </c>
      <c r="I38" s="33">
        <f t="array" ref="I38"> IFERROR(INDEX('Budget Planning'!$C:$C, header_row_id), "")</f>
        <v/>
      </c>
      <c r="J38">
        <f t="array" ref="J38"> IFERROR(INDEX('Budget Planning'!$C:$C, row_id), "")</f>
        <v/>
      </c>
      <c r="K38" s="65">
        <f t="array" ref="K38"> 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38" s="66">
        <f t="array" ref="L38"> IF(OR(is_header, is_empty), "",
         INDEX('Budget Planning'!$E:$EM, row_id,
                  MATCH(IF(selected_period="Total Year", selected_year, DATE(selected_year, selected_period, 1)), 'Budget Planning'!$E$9:$EM$9, 0)))</f>
        <v/>
      </c>
      <c r="M38" s="33">
        <f t="array" ref="M38">IF(is_cat,
        IF(header_row_id=income_header_row, MATCH(income_min_row, $C:$C, 0),
                 IF(header_row_id=expenses_header_row, MATCH(expenses_min_row, $C:$C, 0),
                          IF(header_row_id=savings_header_row, MATCH(savings_min_row, $C:$C, 0), ""))), "")</f>
        <v/>
      </c>
      <c r="N38" s="36">
        <f t="array" ref="N38">IF(is_cat,
        IF(header_row_id=income_header_row, MATCH(income_max_row, $C:$C, 0),
                 IF(header_row_id=expenses_header_row, MATCH(expenses_max_row, $C:$C, 0),
                          IF(header_row_id=savings_header_row, MATCH(savings_max_row, $C:$C, 0), ""))), "")</f>
        <v/>
      </c>
      <c r="O38" s="33">
        <f> IF(is_cat, ADDRESS(sort_min_row, COLUMN(tracked)) &amp; ":" &amp; ADDRESS(sort_max_row, COLUMN(tracked)), "")</f>
        <v/>
      </c>
      <c r="P38">
        <f> IF(is_cat, RANK(tracked, INDIRECT(tracked_range), 0), "")</f>
        <v/>
      </c>
      <c r="Q38">
        <f> IF(is_cat, ADDRESS(sort_min_row, COLUMN(budget)) &amp; ":" &amp; ADDRESS(sort_max_row, COLUMN(budget)), "")</f>
        <v/>
      </c>
      <c r="R38" s="36">
        <f> IF(is_cat, RANK(budget, INDIRECT(budget_range), 0), "")</f>
        <v/>
      </c>
      <c r="S38" s="33">
        <f> IF(is_cat, _xlfn.NUMBERVALUE(tracked_rank &amp; budget_rank), "")</f>
        <v/>
      </c>
      <c r="T38">
        <f> IF(is_cat, ADDRESS(sort_min_row, COLUMN(comb_rank)) &amp; ":" &amp; ADDRESS(sort_max_row, COLUMN(comb_rank)), "")</f>
        <v/>
      </c>
      <c r="U38">
        <f>IF(is_cat, RANK(comb_rank, INDIRECT(comb_rank_range), 1), "")</f>
        <v/>
      </c>
      <c r="V38">
        <f> IF(is_cat, ADDRESS(sort_min_row, COLUMN(comb_rank_norm)) &amp; ":" &amp; ADDRESS(ROW(), COLUMN(comb_rank_norm)), "")</f>
        <v/>
      </c>
      <c r="W38" s="36">
        <f> IF(is_cat, comb_rank_norm + COUNTIF(INDIRECT(comb_rank_norm_run_range), comb_rank_norm)-1, "")</f>
        <v/>
      </c>
      <c r="X38" s="68">
        <f> IF(is_cat, header_row_id + comb_rank_unique, row_id)</f>
        <v/>
      </c>
      <c r="Y38" s="69">
        <f> IF(is_empty, "", INDEX($J:$J, MATCH(row_id, $X:$X, 0)))</f>
        <v/>
      </c>
      <c r="Z38" s="72">
        <f> IF(is_empty, "", IF(is_header, "Tracked", INDEX($K:$K, MATCH(row_id, $X:$X, 0))))</f>
        <v/>
      </c>
      <c r="AA38" s="72">
        <f> IF(is_empty, "", IF(is_header, "Budget", INDEX($L:$L, MATCH(row_id, $X:$X, 0))))</f>
        <v/>
      </c>
      <c r="AB38" s="71">
        <f> IF(is_empty, "", IF(is_header, "% Compl.", IFERROR(out_tracked / out_budget, "-")))</f>
        <v/>
      </c>
      <c r="AC38" s="72">
        <f> IF(is_empty, "", IF(is_header, "Remaining", IF(out_budget - out_tracked &gt; 0, out_budget - out_tracked, 0)))</f>
        <v/>
      </c>
      <c r="AD38" s="73">
        <f> IF(is_empty, "", IF(is_header, "Excess", IF(out_budget - out_tracked &lt; 0, out_tracked - out_budget, 0)))</f>
        <v/>
      </c>
      <c r="AF38" s="33" t="n"/>
      <c r="AK38" s="36" t="n"/>
      <c r="AM38" s="33" t="n"/>
      <c r="AR38" s="36" t="n"/>
    </row>
    <row r="39">
      <c r="C39" s="33">
        <f t="array" ref="C39">IF(C38=-1,-1,
IF(C38&lt;income_max_row,C38+1,
IF(C38=income_max_row,income_total_row,
IF(C38=income_total_row,"/1",
IF(C38="/1",expenses_header_row,
IF(C38&lt;expenses_max_row,C38+1,
IF(C38=expenses_max_row,expenses_total_row,
IF(C38=expenses_total_row, "/2",
IF(C38="/2", savings_header_row,
IF(C38&lt;savings_max_row, C38+1,
IF(C38=savings_max_row, savings_total_row,
-1)))))))))))</f>
        <v/>
      </c>
      <c r="D39" s="36">
        <f> IF(is_header, row_id,
IF(NOT(is_empty), D38, -1))</f>
        <v/>
      </c>
      <c r="E39" s="33">
        <f t="array" ref="E39"> OR(row_id=income_header_row, row_id=expenses_header_row, row_id=savings_header_row) * 1</f>
        <v/>
      </c>
      <c r="F39">
        <f> 1 * NOT(OR(is_header, is_total, is_empty))</f>
        <v/>
      </c>
      <c r="G39">
        <f t="array" ref="G39"> OR(row_id=income_total_row, row_id=expenses_total_row, row_id=savings_total_row) * 1</f>
        <v/>
      </c>
      <c r="H39" s="36">
        <f> OR(row_id="/1", row_id="/2", row_id=-1)*1</f>
        <v/>
      </c>
      <c r="I39" s="33">
        <f t="array" ref="I39"> IFERROR(INDEX('Budget Planning'!$C:$C, header_row_id), "")</f>
        <v/>
      </c>
      <c r="J39">
        <f t="array" ref="J39"> IFERROR(INDEX('Budget Planning'!$C:$C, row_id), "")</f>
        <v/>
      </c>
      <c r="K39" s="65">
        <f t="array" ref="K39"> 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39" s="66">
        <f t="array" ref="L39"> IF(OR(is_header, is_empty), "",
         INDEX('Budget Planning'!$E:$EM, row_id,
                  MATCH(IF(selected_period="Total Year", selected_year, DATE(selected_year, selected_period, 1)), 'Budget Planning'!$E$9:$EM$9, 0)))</f>
        <v/>
      </c>
      <c r="M39" s="33">
        <f t="array" ref="M39">IF(is_cat,
        IF(header_row_id=income_header_row, MATCH(income_min_row, $C:$C, 0),
                 IF(header_row_id=expenses_header_row, MATCH(expenses_min_row, $C:$C, 0),
                          IF(header_row_id=savings_header_row, MATCH(savings_min_row, $C:$C, 0), ""))), "")</f>
        <v/>
      </c>
      <c r="N39" s="36">
        <f t="array" ref="N39">IF(is_cat,
        IF(header_row_id=income_header_row, MATCH(income_max_row, $C:$C, 0),
                 IF(header_row_id=expenses_header_row, MATCH(expenses_max_row, $C:$C, 0),
                          IF(header_row_id=savings_header_row, MATCH(savings_max_row, $C:$C, 0), ""))), "")</f>
        <v/>
      </c>
      <c r="O39" s="33">
        <f> IF(is_cat, ADDRESS(sort_min_row, COLUMN(tracked)) &amp; ":" &amp; ADDRESS(sort_max_row, COLUMN(tracked)), "")</f>
        <v/>
      </c>
      <c r="P39">
        <f> IF(is_cat, RANK(tracked, INDIRECT(tracked_range), 0), "")</f>
        <v/>
      </c>
      <c r="Q39">
        <f> IF(is_cat, ADDRESS(sort_min_row, COLUMN(budget)) &amp; ":" &amp; ADDRESS(sort_max_row, COLUMN(budget)), "")</f>
        <v/>
      </c>
      <c r="R39" s="36">
        <f> IF(is_cat, RANK(budget, INDIRECT(budget_range), 0), "")</f>
        <v/>
      </c>
      <c r="S39" s="33">
        <f> IF(is_cat, _xlfn.NUMBERVALUE(tracked_rank &amp; budget_rank), "")</f>
        <v/>
      </c>
      <c r="T39">
        <f> IF(is_cat, ADDRESS(sort_min_row, COLUMN(comb_rank)) &amp; ":" &amp; ADDRESS(sort_max_row, COLUMN(comb_rank)), "")</f>
        <v/>
      </c>
      <c r="U39">
        <f>IF(is_cat, RANK(comb_rank, INDIRECT(comb_rank_range), 1), "")</f>
        <v/>
      </c>
      <c r="V39">
        <f> IF(is_cat, ADDRESS(sort_min_row, COLUMN(comb_rank_norm)) &amp; ":" &amp; ADDRESS(ROW(), COLUMN(comb_rank_norm)), "")</f>
        <v/>
      </c>
      <c r="W39" s="36">
        <f> IF(is_cat, comb_rank_norm + COUNTIF(INDIRECT(comb_rank_norm_run_range), comb_rank_norm)-1, "")</f>
        <v/>
      </c>
      <c r="X39" s="68">
        <f> IF(is_cat, header_row_id + comb_rank_unique, row_id)</f>
        <v/>
      </c>
      <c r="Y39" s="69">
        <f> IF(is_empty, "", INDEX($J:$J, MATCH(row_id, $X:$X, 0)))</f>
        <v/>
      </c>
      <c r="Z39" s="72">
        <f> IF(is_empty, "", IF(is_header, "Tracked", INDEX($K:$K, MATCH(row_id, $X:$X, 0))))</f>
        <v/>
      </c>
      <c r="AA39" s="72">
        <f> IF(is_empty, "", IF(is_header, "Budget", INDEX($L:$L, MATCH(row_id, $X:$X, 0))))</f>
        <v/>
      </c>
      <c r="AB39" s="71">
        <f> IF(is_empty, "", IF(is_header, "% Compl.", IFERROR(out_tracked / out_budget, "-")))</f>
        <v/>
      </c>
      <c r="AC39" s="72">
        <f> IF(is_empty, "", IF(is_header, "Remaining", IF(out_budget - out_tracked &gt; 0, out_budget - out_tracked, 0)))</f>
        <v/>
      </c>
      <c r="AD39" s="73">
        <f> IF(is_empty, "", IF(is_header, "Excess", IF(out_budget - out_tracked &lt; 0, out_tracked - out_budget, 0)))</f>
        <v/>
      </c>
      <c r="AF39" s="34" t="n"/>
      <c r="AG39" s="35" t="n"/>
      <c r="AH39" s="35" t="n"/>
      <c r="AI39" s="35" t="n"/>
      <c r="AJ39" s="35" t="n"/>
      <c r="AK39" s="37" t="n"/>
      <c r="AM39" s="34" t="n"/>
      <c r="AN39" s="35" t="n"/>
      <c r="AO39" s="35" t="n"/>
      <c r="AP39" s="35" t="n"/>
      <c r="AQ39" s="35" t="n"/>
      <c r="AR39" s="37" t="n"/>
    </row>
    <row r="40">
      <c r="C40" s="33">
        <f t="array" ref="C40">IF(C39=-1,-1,
IF(C39&lt;income_max_row,C39+1,
IF(C39=income_max_row,income_total_row,
IF(C39=income_total_row,"/1",
IF(C39="/1",expenses_header_row,
IF(C39&lt;expenses_max_row,C39+1,
IF(C39=expenses_max_row,expenses_total_row,
IF(C39=expenses_total_row, "/2",
IF(C39="/2", savings_header_row,
IF(C39&lt;savings_max_row, C39+1,
IF(C39=savings_max_row, savings_total_row,
-1)))))))))))</f>
        <v/>
      </c>
      <c r="D40" s="36">
        <f> IF(is_header, row_id,
IF(NOT(is_empty), D39, -1))</f>
        <v/>
      </c>
      <c r="E40" s="33">
        <f t="array" ref="E40"> OR(row_id=income_header_row, row_id=expenses_header_row, row_id=savings_header_row) * 1</f>
        <v/>
      </c>
      <c r="F40">
        <f> 1 * NOT(OR(is_header, is_total, is_empty))</f>
        <v/>
      </c>
      <c r="G40">
        <f t="array" ref="G40"> OR(row_id=income_total_row, row_id=expenses_total_row, row_id=savings_total_row) * 1</f>
        <v/>
      </c>
      <c r="H40" s="36">
        <f> OR(row_id="/1", row_id="/2", row_id=-1)*1</f>
        <v/>
      </c>
      <c r="I40" s="33">
        <f t="array" ref="I40"> IFERROR(INDEX('Budget Planning'!$C:$C, header_row_id), "")</f>
        <v/>
      </c>
      <c r="J40">
        <f t="array" ref="J40"> IFERROR(INDEX('Budget Planning'!$C:$C, row_id), "")</f>
        <v/>
      </c>
      <c r="K40" s="65">
        <f t="array" ref="K40"> 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40" s="66">
        <f t="array" ref="L40"> IF(OR(is_header, is_empty), "",
         INDEX('Budget Planning'!$E:$EM, row_id,
                  MATCH(IF(selected_period="Total Year", selected_year, DATE(selected_year, selected_period, 1)), 'Budget Planning'!$E$9:$EM$9, 0)))</f>
        <v/>
      </c>
      <c r="M40" s="33">
        <f t="array" ref="M40">IF(is_cat,
        IF(header_row_id=income_header_row, MATCH(income_min_row, $C:$C, 0),
                 IF(header_row_id=expenses_header_row, MATCH(expenses_min_row, $C:$C, 0),
                          IF(header_row_id=savings_header_row, MATCH(savings_min_row, $C:$C, 0), ""))), "")</f>
        <v/>
      </c>
      <c r="N40" s="36">
        <f t="array" ref="N40">IF(is_cat,
        IF(header_row_id=income_header_row, MATCH(income_max_row, $C:$C, 0),
                 IF(header_row_id=expenses_header_row, MATCH(expenses_max_row, $C:$C, 0),
                          IF(header_row_id=savings_header_row, MATCH(savings_max_row, $C:$C, 0), ""))), "")</f>
        <v/>
      </c>
      <c r="O40" s="33">
        <f> IF(is_cat, ADDRESS(sort_min_row, COLUMN(tracked)) &amp; ":" &amp; ADDRESS(sort_max_row, COLUMN(tracked)), "")</f>
        <v/>
      </c>
      <c r="P40">
        <f> IF(is_cat, RANK(tracked, INDIRECT(tracked_range), 0), "")</f>
        <v/>
      </c>
      <c r="Q40">
        <f> IF(is_cat, ADDRESS(sort_min_row, COLUMN(budget)) &amp; ":" &amp; ADDRESS(sort_max_row, COLUMN(budget)), "")</f>
        <v/>
      </c>
      <c r="R40" s="36">
        <f> IF(is_cat, RANK(budget, INDIRECT(budget_range), 0), "")</f>
        <v/>
      </c>
      <c r="S40" s="33">
        <f> IF(is_cat, _xlfn.NUMBERVALUE(tracked_rank &amp; budget_rank), "")</f>
        <v/>
      </c>
      <c r="T40">
        <f> IF(is_cat, ADDRESS(sort_min_row, COLUMN(comb_rank)) &amp; ":" &amp; ADDRESS(sort_max_row, COLUMN(comb_rank)), "")</f>
        <v/>
      </c>
      <c r="U40">
        <f>IF(is_cat, RANK(comb_rank, INDIRECT(comb_rank_range), 1), "")</f>
        <v/>
      </c>
      <c r="V40">
        <f> IF(is_cat, ADDRESS(sort_min_row, COLUMN(comb_rank_norm)) &amp; ":" &amp; ADDRESS(ROW(), COLUMN(comb_rank_norm)), "")</f>
        <v/>
      </c>
      <c r="W40" s="36">
        <f> IF(is_cat, comb_rank_norm + COUNTIF(INDIRECT(comb_rank_norm_run_range), comb_rank_norm)-1, "")</f>
        <v/>
      </c>
      <c r="X40" s="68">
        <f> IF(is_cat, header_row_id + comb_rank_unique, row_id)</f>
        <v/>
      </c>
      <c r="Y40" s="69">
        <f> IF(is_empty, "", INDEX($J:$J, MATCH(row_id, $X:$X, 0)))</f>
        <v/>
      </c>
      <c r="Z40" s="72">
        <f> IF(is_empty, "", IF(is_header, "Tracked", INDEX($K:$K, MATCH(row_id, $X:$X, 0))))</f>
        <v/>
      </c>
      <c r="AA40" s="72">
        <f> IF(is_empty, "", IF(is_header, "Budget", INDEX($L:$L, MATCH(row_id, $X:$X, 0))))</f>
        <v/>
      </c>
      <c r="AB40" s="71">
        <f> IF(is_empty, "", IF(is_header, "% Compl.", IFERROR(out_tracked / out_budget, "-")))</f>
        <v/>
      </c>
      <c r="AC40" s="72">
        <f> IF(is_empty, "", IF(is_header, "Remaining", IF(out_budget - out_tracked &gt; 0, out_budget - out_tracked, 0)))</f>
        <v/>
      </c>
      <c r="AD40" s="73">
        <f> IF(is_empty, "", IF(is_header, "Excess", IF(out_budget - out_tracked &lt; 0, out_tracked - out_budget, 0)))</f>
        <v/>
      </c>
    </row>
    <row r="41">
      <c r="C41" s="33">
        <f t="array" ref="C41">IF(C40=-1,-1,
IF(C40&lt;income_max_row,C40+1,
IF(C40=income_max_row,income_total_row,
IF(C40=income_total_row,"/1",
IF(C40="/1",expenses_header_row,
IF(C40&lt;expenses_max_row,C40+1,
IF(C40=expenses_max_row,expenses_total_row,
IF(C40=expenses_total_row, "/2",
IF(C40="/2", savings_header_row,
IF(C40&lt;savings_max_row, C40+1,
IF(C40=savings_max_row, savings_total_row,
-1)))))))))))</f>
        <v/>
      </c>
      <c r="D41" s="36">
        <f> IF(is_header, row_id,
IF(NOT(is_empty), D40, -1))</f>
        <v/>
      </c>
      <c r="E41" s="33">
        <f t="array" ref="E41"> OR(row_id=income_header_row, row_id=expenses_header_row, row_id=savings_header_row) * 1</f>
        <v/>
      </c>
      <c r="F41">
        <f> 1 * NOT(OR(is_header, is_total, is_empty))</f>
        <v/>
      </c>
      <c r="G41">
        <f t="array" ref="G41"> OR(row_id=income_total_row, row_id=expenses_total_row, row_id=savings_total_row) * 1</f>
        <v/>
      </c>
      <c r="H41" s="36">
        <f> OR(row_id="/1", row_id="/2", row_id=-1)*1</f>
        <v/>
      </c>
      <c r="I41" s="33">
        <f t="array" ref="I41"> IFERROR(INDEX('Budget Planning'!$C:$C, header_row_id), "")</f>
        <v/>
      </c>
      <c r="J41">
        <f t="array" ref="J41"> IFERROR(INDEX('Budget Planning'!$C:$C, row_id), "")</f>
        <v/>
      </c>
      <c r="K41" s="65">
        <f t="array" ref="K41"> 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41" s="66">
        <f t="array" ref="L41"> IF(OR(is_header, is_empty), "",
         INDEX('Budget Planning'!$E:$EM, row_id,
                  MATCH(IF(selected_period="Total Year", selected_year, DATE(selected_year, selected_period, 1)), 'Budget Planning'!$E$9:$EM$9, 0)))</f>
        <v/>
      </c>
      <c r="M41" s="33">
        <f t="array" ref="M41">IF(is_cat,
        IF(header_row_id=income_header_row, MATCH(income_min_row, $C:$C, 0),
                 IF(header_row_id=expenses_header_row, MATCH(expenses_min_row, $C:$C, 0),
                          IF(header_row_id=savings_header_row, MATCH(savings_min_row, $C:$C, 0), ""))), "")</f>
        <v/>
      </c>
      <c r="N41" s="36">
        <f t="array" ref="N41">IF(is_cat,
        IF(header_row_id=income_header_row, MATCH(income_max_row, $C:$C, 0),
                 IF(header_row_id=expenses_header_row, MATCH(expenses_max_row, $C:$C, 0),
                          IF(header_row_id=savings_header_row, MATCH(savings_max_row, $C:$C, 0), ""))), "")</f>
        <v/>
      </c>
      <c r="O41" s="33">
        <f> IF(is_cat, ADDRESS(sort_min_row, COLUMN(tracked)) &amp; ":" &amp; ADDRESS(sort_max_row, COLUMN(tracked)), "")</f>
        <v/>
      </c>
      <c r="P41">
        <f> IF(is_cat, RANK(tracked, INDIRECT(tracked_range), 0), "")</f>
        <v/>
      </c>
      <c r="Q41">
        <f> IF(is_cat, ADDRESS(sort_min_row, COLUMN(budget)) &amp; ":" &amp; ADDRESS(sort_max_row, COLUMN(budget)), "")</f>
        <v/>
      </c>
      <c r="R41" s="36">
        <f> IF(is_cat, RANK(budget, INDIRECT(budget_range), 0), "")</f>
        <v/>
      </c>
      <c r="S41" s="33">
        <f> IF(is_cat, _xlfn.NUMBERVALUE(tracked_rank &amp; budget_rank), "")</f>
        <v/>
      </c>
      <c r="T41">
        <f> IF(is_cat, ADDRESS(sort_min_row, COLUMN(comb_rank)) &amp; ":" &amp; ADDRESS(sort_max_row, COLUMN(comb_rank)), "")</f>
        <v/>
      </c>
      <c r="U41">
        <f>IF(is_cat, RANK(comb_rank, INDIRECT(comb_rank_range), 1), "")</f>
        <v/>
      </c>
      <c r="V41">
        <f> IF(is_cat, ADDRESS(sort_min_row, COLUMN(comb_rank_norm)) &amp; ":" &amp; ADDRESS(ROW(), COLUMN(comb_rank_norm)), "")</f>
        <v/>
      </c>
      <c r="W41" s="36">
        <f> IF(is_cat, comb_rank_norm + COUNTIF(INDIRECT(comb_rank_norm_run_range), comb_rank_norm)-1, "")</f>
        <v/>
      </c>
      <c r="X41" s="68">
        <f> IF(is_cat, header_row_id + comb_rank_unique, row_id)</f>
        <v/>
      </c>
      <c r="Y41" s="69">
        <f> IF(is_empty, "", INDEX($J:$J, MATCH(row_id, $X:$X, 0)))</f>
        <v/>
      </c>
      <c r="Z41" s="72">
        <f> IF(is_empty, "", IF(is_header, "Tracked", INDEX($K:$K, MATCH(row_id, $X:$X, 0))))</f>
        <v/>
      </c>
      <c r="AA41" s="72">
        <f> IF(is_empty, "", IF(is_header, "Budget", INDEX($L:$L, MATCH(row_id, $X:$X, 0))))</f>
        <v/>
      </c>
      <c r="AB41" s="71">
        <f> IF(is_empty, "", IF(is_header, "% Compl.", IFERROR(out_tracked / out_budget, "-")))</f>
        <v/>
      </c>
      <c r="AC41" s="72">
        <f> IF(is_empty, "", IF(is_header, "Remaining", IF(out_budget - out_tracked &gt; 0, out_budget - out_tracked, 0)))</f>
        <v/>
      </c>
      <c r="AD41" s="73">
        <f> IF(is_empty, "", IF(is_header, "Excess", IF(out_budget - out_tracked &lt; 0, out_tracked - out_budget, 0)))</f>
        <v/>
      </c>
      <c r="AF41" s="112" t="n"/>
    </row>
    <row r="42">
      <c r="C42" s="33">
        <f t="array" ref="C42">IF(C41=-1,-1,
IF(C41&lt;income_max_row,C41+1,
IF(C41=income_max_row,income_total_row,
IF(C41=income_total_row,"/1",
IF(C41="/1",expenses_header_row,
IF(C41&lt;expenses_max_row,C41+1,
IF(C41=expenses_max_row,expenses_total_row,
IF(C41=expenses_total_row, "/2",
IF(C41="/2", savings_header_row,
IF(C41&lt;savings_max_row, C41+1,
IF(C41=savings_max_row, savings_total_row,
-1)))))))))))</f>
        <v/>
      </c>
      <c r="D42" s="36">
        <f> IF(is_header, row_id,
IF(NOT(is_empty), D41, -1))</f>
        <v/>
      </c>
      <c r="E42" s="33">
        <f t="array" ref="E42"> OR(row_id=income_header_row, row_id=expenses_header_row, row_id=savings_header_row) * 1</f>
        <v/>
      </c>
      <c r="F42">
        <f> 1 * NOT(OR(is_header, is_total, is_empty))</f>
        <v/>
      </c>
      <c r="G42">
        <f t="array" ref="G42"> OR(row_id=income_total_row, row_id=expenses_total_row, row_id=savings_total_row) * 1</f>
        <v/>
      </c>
      <c r="H42" s="36">
        <f> OR(row_id="/1", row_id="/2", row_id=-1)*1</f>
        <v/>
      </c>
      <c r="I42" s="33">
        <f t="array" ref="I42"> IFERROR(INDEX('Budget Planning'!$C:$C, header_row_id), "")</f>
        <v/>
      </c>
      <c r="J42">
        <f t="array" ref="J42"> IFERROR(INDEX('Budget Planning'!$C:$C, row_id), "")</f>
        <v/>
      </c>
      <c r="K42" s="65">
        <f t="array" ref="K42"> 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42" s="66">
        <f t="array" ref="L42"> IF(OR(is_header, is_empty), "",
         INDEX('Budget Planning'!$E:$EM, row_id,
                  MATCH(IF(selected_period="Total Year", selected_year, DATE(selected_year, selected_period, 1)), 'Budget Planning'!$E$9:$EM$9, 0)))</f>
        <v/>
      </c>
      <c r="M42" s="33">
        <f t="array" ref="M42">IF(is_cat,
        IF(header_row_id=income_header_row, MATCH(income_min_row, $C:$C, 0),
                 IF(header_row_id=expenses_header_row, MATCH(expenses_min_row, $C:$C, 0),
                          IF(header_row_id=savings_header_row, MATCH(savings_min_row, $C:$C, 0), ""))), "")</f>
        <v/>
      </c>
      <c r="N42" s="36">
        <f t="array" ref="N42">IF(is_cat,
        IF(header_row_id=income_header_row, MATCH(income_max_row, $C:$C, 0),
                 IF(header_row_id=expenses_header_row, MATCH(expenses_max_row, $C:$C, 0),
                          IF(header_row_id=savings_header_row, MATCH(savings_max_row, $C:$C, 0), ""))), "")</f>
        <v/>
      </c>
      <c r="O42" s="33">
        <f> IF(is_cat, ADDRESS(sort_min_row, COLUMN(tracked)) &amp; ":" &amp; ADDRESS(sort_max_row, COLUMN(tracked)), "")</f>
        <v/>
      </c>
      <c r="P42">
        <f> IF(is_cat, RANK(tracked, INDIRECT(tracked_range), 0), "")</f>
        <v/>
      </c>
      <c r="Q42">
        <f> IF(is_cat, ADDRESS(sort_min_row, COLUMN(budget)) &amp; ":" &amp; ADDRESS(sort_max_row, COLUMN(budget)), "")</f>
        <v/>
      </c>
      <c r="R42" s="36">
        <f> IF(is_cat, RANK(budget, INDIRECT(budget_range), 0), "")</f>
        <v/>
      </c>
      <c r="S42" s="33">
        <f> IF(is_cat, _xlfn.NUMBERVALUE(tracked_rank &amp; budget_rank), "")</f>
        <v/>
      </c>
      <c r="T42">
        <f> IF(is_cat, ADDRESS(sort_min_row, COLUMN(comb_rank)) &amp; ":" &amp; ADDRESS(sort_max_row, COLUMN(comb_rank)), "")</f>
        <v/>
      </c>
      <c r="U42">
        <f>IF(is_cat, RANK(comb_rank, INDIRECT(comb_rank_range), 1), "")</f>
        <v/>
      </c>
      <c r="V42">
        <f> IF(is_cat, ADDRESS(sort_min_row, COLUMN(comb_rank_norm)) &amp; ":" &amp; ADDRESS(ROW(), COLUMN(comb_rank_norm)), "")</f>
        <v/>
      </c>
      <c r="W42" s="36">
        <f> IF(is_cat, comb_rank_norm + COUNTIF(INDIRECT(comb_rank_norm_run_range), comb_rank_norm)-1, "")</f>
        <v/>
      </c>
      <c r="X42" s="68">
        <f> IF(is_cat, header_row_id + comb_rank_unique, row_id)</f>
        <v/>
      </c>
      <c r="Y42" s="69">
        <f> IF(is_empty, "", INDEX($J:$J, MATCH(row_id, $X:$X, 0)))</f>
        <v/>
      </c>
      <c r="Z42" s="72">
        <f> IF(is_empty, "", IF(is_header, "Tracked", INDEX($K:$K, MATCH(row_id, $X:$X, 0))))</f>
        <v/>
      </c>
      <c r="AA42" s="72">
        <f> IF(is_empty, "", IF(is_header, "Budget", INDEX($L:$L, MATCH(row_id, $X:$X, 0))))</f>
        <v/>
      </c>
      <c r="AB42" s="71">
        <f> IF(is_empty, "", IF(is_header, "% Compl.", IFERROR(out_tracked / out_budget, "-")))</f>
        <v/>
      </c>
      <c r="AC42" s="72">
        <f> IF(is_empty, "", IF(is_header, "Remaining", IF(out_budget - out_tracked &gt; 0, out_budget - out_tracked, 0)))</f>
        <v/>
      </c>
      <c r="AD42" s="73">
        <f> IF(is_empty, "", IF(is_header, "Excess", IF(out_budget - out_tracked &lt; 0, out_tracked - out_budget, 0)))</f>
        <v/>
      </c>
    </row>
    <row r="43">
      <c r="C43" s="33">
        <f t="array" ref="C43">IF(C42=-1,-1,
IF(C42&lt;income_max_row,C42+1,
IF(C42=income_max_row,income_total_row,
IF(C42=income_total_row,"/1",
IF(C42="/1",expenses_header_row,
IF(C42&lt;expenses_max_row,C42+1,
IF(C42=expenses_max_row,expenses_total_row,
IF(C42=expenses_total_row, "/2",
IF(C42="/2", savings_header_row,
IF(C42&lt;savings_max_row, C42+1,
IF(C42=savings_max_row, savings_total_row,
-1)))))))))))</f>
        <v/>
      </c>
      <c r="D43" s="36">
        <f> IF(is_header, row_id,
IF(NOT(is_empty), D42, -1))</f>
        <v/>
      </c>
      <c r="E43" s="33">
        <f t="array" ref="E43"> OR(row_id=income_header_row, row_id=expenses_header_row, row_id=savings_header_row) * 1</f>
        <v/>
      </c>
      <c r="F43">
        <f> 1 * NOT(OR(is_header, is_total, is_empty))</f>
        <v/>
      </c>
      <c r="G43">
        <f t="array" ref="G43"> OR(row_id=income_total_row, row_id=expenses_total_row, row_id=savings_total_row) * 1</f>
        <v/>
      </c>
      <c r="H43" s="36">
        <f> OR(row_id="/1", row_id="/2", row_id=-1)*1</f>
        <v/>
      </c>
      <c r="I43" s="33">
        <f t="array" ref="I43"> IFERROR(INDEX('Budget Planning'!$C:$C, header_row_id), "")</f>
        <v/>
      </c>
      <c r="J43">
        <f t="array" ref="J43"> IFERROR(INDEX('Budget Planning'!$C:$C, row_id), "")</f>
        <v/>
      </c>
      <c r="K43" s="65">
        <f t="array" ref="K43"> 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43" s="66">
        <f t="array" ref="L43"> IF(OR(is_header, is_empty), "",
         INDEX('Budget Planning'!$E:$EM, row_id,
                  MATCH(IF(selected_period="Total Year", selected_year, DATE(selected_year, selected_period, 1)), 'Budget Planning'!$E$9:$EM$9, 0)))</f>
        <v/>
      </c>
      <c r="M43" s="33">
        <f t="array" ref="M43">IF(is_cat,
        IF(header_row_id=income_header_row, MATCH(income_min_row, $C:$C, 0),
                 IF(header_row_id=expenses_header_row, MATCH(expenses_min_row, $C:$C, 0),
                          IF(header_row_id=savings_header_row, MATCH(savings_min_row, $C:$C, 0), ""))), "")</f>
        <v/>
      </c>
      <c r="N43" s="36">
        <f t="array" ref="N43">IF(is_cat,
        IF(header_row_id=income_header_row, MATCH(income_max_row, $C:$C, 0),
                 IF(header_row_id=expenses_header_row, MATCH(expenses_max_row, $C:$C, 0),
                          IF(header_row_id=savings_header_row, MATCH(savings_max_row, $C:$C, 0), ""))), "")</f>
        <v/>
      </c>
      <c r="O43" s="33">
        <f> IF(is_cat, ADDRESS(sort_min_row, COLUMN(tracked)) &amp; ":" &amp; ADDRESS(sort_max_row, COLUMN(tracked)), "")</f>
        <v/>
      </c>
      <c r="P43">
        <f> IF(is_cat, RANK(tracked, INDIRECT(tracked_range), 0), "")</f>
        <v/>
      </c>
      <c r="Q43">
        <f> IF(is_cat, ADDRESS(sort_min_row, COLUMN(budget)) &amp; ":" &amp; ADDRESS(sort_max_row, COLUMN(budget)), "")</f>
        <v/>
      </c>
      <c r="R43" s="36">
        <f> IF(is_cat, RANK(budget, INDIRECT(budget_range), 0), "")</f>
        <v/>
      </c>
      <c r="S43" s="33">
        <f> IF(is_cat, _xlfn.NUMBERVALUE(tracked_rank &amp; budget_rank), "")</f>
        <v/>
      </c>
      <c r="T43">
        <f> IF(is_cat, ADDRESS(sort_min_row, COLUMN(comb_rank)) &amp; ":" &amp; ADDRESS(sort_max_row, COLUMN(comb_rank)), "")</f>
        <v/>
      </c>
      <c r="U43">
        <f>IF(is_cat, RANK(comb_rank, INDIRECT(comb_rank_range), 1), "")</f>
        <v/>
      </c>
      <c r="V43">
        <f> IF(is_cat, ADDRESS(sort_min_row, COLUMN(comb_rank_norm)) &amp; ":" &amp; ADDRESS(ROW(), COLUMN(comb_rank_norm)), "")</f>
        <v/>
      </c>
      <c r="W43" s="36">
        <f> IF(is_cat, comb_rank_norm + COUNTIF(INDIRECT(comb_rank_norm_run_range), comb_rank_norm)-1, "")</f>
        <v/>
      </c>
      <c r="X43" s="68">
        <f> IF(is_cat, header_row_id + comb_rank_unique, row_id)</f>
        <v/>
      </c>
      <c r="Y43" s="69">
        <f> IF(is_empty, "", INDEX($J:$J, MATCH(row_id, $X:$X, 0)))</f>
        <v/>
      </c>
      <c r="Z43" s="72">
        <f> IF(is_empty, "", IF(is_header, "Tracked", INDEX($K:$K, MATCH(row_id, $X:$X, 0))))</f>
        <v/>
      </c>
      <c r="AA43" s="72">
        <f> IF(is_empty, "", IF(is_header, "Budget", INDEX($L:$L, MATCH(row_id, $X:$X, 0))))</f>
        <v/>
      </c>
      <c r="AB43" s="71">
        <f> IF(is_empty, "", IF(is_header, "% Compl.", IFERROR(out_tracked / out_budget, "-")))</f>
        <v/>
      </c>
      <c r="AC43" s="72">
        <f> IF(is_empty, "", IF(is_header, "Remaining", IF(out_budget - out_tracked &gt; 0, out_budget - out_tracked, 0)))</f>
        <v/>
      </c>
      <c r="AD43" s="72">
        <f> IF(is_empty, "", IF(is_header, "Excess", IF(out_budget - out_tracked &lt; 0, out_tracked - out_budget, 0)))</f>
        <v/>
      </c>
    </row>
    <row r="44">
      <c r="C44" s="33">
        <f t="array" ref="C44">IF(C43=-1,-1,
IF(C43&lt;income_max_row,C43+1,
IF(C43=income_max_row,income_total_row,
IF(C43=income_total_row,"/1",
IF(C43="/1",expenses_header_row,
IF(C43&lt;expenses_max_row,C43+1,
IF(C43=expenses_max_row,expenses_total_row,
IF(C43=expenses_total_row, "/2",
IF(C43="/2", savings_header_row,
IF(C43&lt;savings_max_row, C43+1,
IF(C43=savings_max_row, savings_total_row,
-1)))))))))))</f>
        <v/>
      </c>
      <c r="D44" s="36">
        <f> IF(is_header, row_id,
IF(NOT(is_empty), D43, -1))</f>
        <v/>
      </c>
      <c r="E44" s="33">
        <f t="array" ref="E44"> OR(row_id=income_header_row, row_id=expenses_header_row, row_id=savings_header_row) * 1</f>
        <v/>
      </c>
      <c r="F44">
        <f> 1 * NOT(OR(is_header, is_total, is_empty))</f>
        <v/>
      </c>
      <c r="G44">
        <f t="array" ref="G44"> OR(row_id=income_total_row, row_id=expenses_total_row, row_id=savings_total_row) * 1</f>
        <v/>
      </c>
      <c r="H44" s="36">
        <f> OR(row_id="/1", row_id="/2", row_id=-1)*1</f>
        <v/>
      </c>
      <c r="I44" s="33">
        <f t="array" ref="I44"> IFERROR(INDEX('Budget Planning'!$C:$C, header_row_id), "")</f>
        <v/>
      </c>
      <c r="J44">
        <f t="array" ref="J44"> IFERROR(INDEX('Budget Planning'!$C:$C, row_id), "")</f>
        <v/>
      </c>
      <c r="K44" s="65">
        <f t="array" ref="K44"> 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44" s="66">
        <f t="array" ref="L44"> IF(OR(is_header, is_empty), "",
         INDEX('Budget Planning'!$E:$EM, row_id,
                  MATCH(IF(selected_period="Total Year", selected_year, DATE(selected_year, selected_period, 1)), 'Budget Planning'!$E$9:$EM$9, 0)))</f>
        <v/>
      </c>
      <c r="M44" s="33">
        <f t="array" ref="M44">IF(is_cat,
        IF(header_row_id=income_header_row, MATCH(income_min_row, $C:$C, 0),
                 IF(header_row_id=expenses_header_row, MATCH(expenses_min_row, $C:$C, 0),
                          IF(header_row_id=savings_header_row, MATCH(savings_min_row, $C:$C, 0), ""))), "")</f>
        <v/>
      </c>
      <c r="N44" s="36">
        <f t="array" ref="N44">IF(is_cat,
        IF(header_row_id=income_header_row, MATCH(income_max_row, $C:$C, 0),
                 IF(header_row_id=expenses_header_row, MATCH(expenses_max_row, $C:$C, 0),
                          IF(header_row_id=savings_header_row, MATCH(savings_max_row, $C:$C, 0), ""))), "")</f>
        <v/>
      </c>
      <c r="O44" s="33">
        <f> IF(is_cat, ADDRESS(sort_min_row, COLUMN(tracked)) &amp; ":" &amp; ADDRESS(sort_max_row, COLUMN(tracked)), "")</f>
        <v/>
      </c>
      <c r="P44">
        <f> IF(is_cat, RANK(tracked, INDIRECT(tracked_range), 0), "")</f>
        <v/>
      </c>
      <c r="Q44">
        <f> IF(is_cat, ADDRESS(sort_min_row, COLUMN(budget)) &amp; ":" &amp; ADDRESS(sort_max_row, COLUMN(budget)), "")</f>
        <v/>
      </c>
      <c r="R44" s="36">
        <f> IF(is_cat, RANK(budget, INDIRECT(budget_range), 0), "")</f>
        <v/>
      </c>
      <c r="S44" s="33">
        <f> IF(is_cat, _xlfn.NUMBERVALUE(tracked_rank &amp; budget_rank), "")</f>
        <v/>
      </c>
      <c r="T44">
        <f> IF(is_cat, ADDRESS(sort_min_row, COLUMN(comb_rank)) &amp; ":" &amp; ADDRESS(sort_max_row, COLUMN(comb_rank)), "")</f>
        <v/>
      </c>
      <c r="U44">
        <f>IF(is_cat, RANK(comb_rank, INDIRECT(comb_rank_range), 1), "")</f>
        <v/>
      </c>
      <c r="V44">
        <f> IF(is_cat, ADDRESS(sort_min_row, COLUMN(comb_rank_norm)) &amp; ":" &amp; ADDRESS(ROW(), COLUMN(comb_rank_norm)), "")</f>
        <v/>
      </c>
      <c r="W44" s="36">
        <f> IF(is_cat, comb_rank_norm + COUNTIF(INDIRECT(comb_rank_norm_run_range), comb_rank_norm)-1, "")</f>
        <v/>
      </c>
      <c r="X44" s="68">
        <f> IF(is_cat, header_row_id + comb_rank_unique, row_id)</f>
        <v/>
      </c>
      <c r="Y44" s="69">
        <f> IF(is_empty, "", INDEX($J:$J, MATCH(row_id, $X:$X, 0)))</f>
        <v/>
      </c>
      <c r="Z44" s="72">
        <f> IF(is_empty, "", IF(is_header, "Tracked", INDEX($K:$K, MATCH(row_id, $X:$X, 0))))</f>
        <v/>
      </c>
      <c r="AA44" s="72">
        <f> IF(is_empty, "", IF(is_header, "Budget", INDEX($L:$L, MATCH(row_id, $X:$X, 0))))</f>
        <v/>
      </c>
      <c r="AB44" s="71">
        <f> IF(is_empty, "", IF(is_header, "% Compl.", IFERROR(out_tracked / out_budget, "-")))</f>
        <v/>
      </c>
      <c r="AC44" s="72">
        <f> IF(is_empty, "", IF(is_header, "Remaining", IF(out_budget - out_tracked &gt; 0, out_budget - out_tracked, 0)))</f>
        <v/>
      </c>
      <c r="AD44" s="72">
        <f> IF(is_empty, "", IF(is_header, "Excess", IF(out_budget - out_tracked &lt; 0, out_tracked - out_budget, 0)))</f>
        <v/>
      </c>
    </row>
    <row r="45">
      <c r="C45" s="33">
        <f t="array" ref="C45">IF(C44=-1,-1,
IF(C44&lt;income_max_row,C44+1,
IF(C44=income_max_row,income_total_row,
IF(C44=income_total_row,"/1",
IF(C44="/1",expenses_header_row,
IF(C44&lt;expenses_max_row,C44+1,
IF(C44=expenses_max_row,expenses_total_row,
IF(C44=expenses_total_row, "/2",
IF(C44="/2", savings_header_row,
IF(C44&lt;savings_max_row, C44+1,
IF(C44=savings_max_row, savings_total_row,
-1)))))))))))</f>
        <v/>
      </c>
      <c r="D45" s="36">
        <f> IF(is_header, row_id,
IF(NOT(is_empty), D44, -1))</f>
        <v/>
      </c>
      <c r="E45" s="33">
        <f t="array" ref="E45"> OR(row_id=income_header_row, row_id=expenses_header_row, row_id=savings_header_row) * 1</f>
        <v/>
      </c>
      <c r="F45">
        <f> 1 * NOT(OR(is_header, is_total, is_empty))</f>
        <v/>
      </c>
      <c r="G45">
        <f t="array" ref="G45"> OR(row_id=income_total_row, row_id=expenses_total_row, row_id=savings_total_row) * 1</f>
        <v/>
      </c>
      <c r="H45" s="36">
        <f> OR(row_id="/1", row_id="/2", row_id=-1)*1</f>
        <v/>
      </c>
      <c r="I45" s="33">
        <f t="array" ref="I45"> IFERROR(INDEX('Budget Planning'!$C:$C, header_row_id), "")</f>
        <v/>
      </c>
      <c r="J45">
        <f t="array" ref="J45"> IFERROR(INDEX('Budget Planning'!$C:$C, row_id), "")</f>
        <v/>
      </c>
      <c r="K45" s="65">
        <f t="array" ref="K45"> 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45" s="66">
        <f t="array" ref="L45"> IF(OR(is_header, is_empty), "",
         INDEX('Budget Planning'!$E:$EM, row_id,
                  MATCH(IF(selected_period="Total Year", selected_year, DATE(selected_year, selected_period, 1)), 'Budget Planning'!$E$9:$EM$9, 0)))</f>
        <v/>
      </c>
      <c r="M45" s="33">
        <f t="array" ref="M45">IF(is_cat,
        IF(header_row_id=income_header_row, MATCH(income_min_row, $C:$C, 0),
                 IF(header_row_id=expenses_header_row, MATCH(expenses_min_row, $C:$C, 0),
                          IF(header_row_id=savings_header_row, MATCH(savings_min_row, $C:$C, 0), ""))), "")</f>
        <v/>
      </c>
      <c r="N45" s="36">
        <f t="array" ref="N45">IF(is_cat,
        IF(header_row_id=income_header_row, MATCH(income_max_row, $C:$C, 0),
                 IF(header_row_id=expenses_header_row, MATCH(expenses_max_row, $C:$C, 0),
                          IF(header_row_id=savings_header_row, MATCH(savings_max_row, $C:$C, 0), ""))), "")</f>
        <v/>
      </c>
      <c r="O45" s="33">
        <f> IF(is_cat, ADDRESS(sort_min_row, COLUMN(tracked)) &amp; ":" &amp; ADDRESS(sort_max_row, COLUMN(tracked)), "")</f>
        <v/>
      </c>
      <c r="P45">
        <f> IF(is_cat, RANK(tracked, INDIRECT(tracked_range), 0), "")</f>
        <v/>
      </c>
      <c r="Q45">
        <f> IF(is_cat, ADDRESS(sort_min_row, COLUMN(budget)) &amp; ":" &amp; ADDRESS(sort_max_row, COLUMN(budget)), "")</f>
        <v/>
      </c>
      <c r="R45" s="36">
        <f> IF(is_cat, RANK(budget, INDIRECT(budget_range), 0), "")</f>
        <v/>
      </c>
      <c r="S45" s="33">
        <f> IF(is_cat, _xlfn.NUMBERVALUE(tracked_rank &amp; budget_rank), "")</f>
        <v/>
      </c>
      <c r="T45">
        <f> IF(is_cat, ADDRESS(sort_min_row, COLUMN(comb_rank)) &amp; ":" &amp; ADDRESS(sort_max_row, COLUMN(comb_rank)), "")</f>
        <v/>
      </c>
      <c r="U45">
        <f>IF(is_cat, RANK(comb_rank, INDIRECT(comb_rank_range), 1), "")</f>
        <v/>
      </c>
      <c r="V45">
        <f> IF(is_cat, ADDRESS(sort_min_row, COLUMN(comb_rank_norm)) &amp; ":" &amp; ADDRESS(ROW(), COLUMN(comb_rank_norm)), "")</f>
        <v/>
      </c>
      <c r="W45" s="36">
        <f> IF(is_cat, comb_rank_norm + COUNTIF(INDIRECT(comb_rank_norm_run_range), comb_rank_norm)-1, "")</f>
        <v/>
      </c>
      <c r="X45" s="68">
        <f> IF(is_cat, header_row_id + comb_rank_unique, row_id)</f>
        <v/>
      </c>
      <c r="Y45" s="69">
        <f> IF(is_empty, "", INDEX($J:$J, MATCH(row_id, $X:$X, 0)))</f>
        <v/>
      </c>
      <c r="Z45" s="72">
        <f> IF(is_empty, "", IF(is_header, "Tracked", INDEX($K:$K, MATCH(row_id, $X:$X, 0))))</f>
        <v/>
      </c>
      <c r="AA45" s="72">
        <f> IF(is_empty, "", IF(is_header, "Budget", INDEX($L:$L, MATCH(row_id, $X:$X, 0))))</f>
        <v/>
      </c>
      <c r="AB45" s="71">
        <f> IF(is_empty, "", IF(is_header, "% Compl.", IFERROR(out_tracked / out_budget, "-")))</f>
        <v/>
      </c>
      <c r="AC45" s="72">
        <f> IF(is_empty, "", IF(is_header, "Remaining", IF(out_budget - out_tracked &gt; 0, out_budget - out_tracked, 0)))</f>
        <v/>
      </c>
      <c r="AD45" s="72">
        <f> IF(is_empty, "", IF(is_header, "Excess", IF(out_budget - out_tracked &lt; 0, out_tracked - out_budget, 0)))</f>
        <v/>
      </c>
    </row>
    <row r="46">
      <c r="C46" s="33">
        <f t="array" ref="C46">IF(C45=-1,-1,
IF(C45&lt;income_max_row,C45+1,
IF(C45=income_max_row,income_total_row,
IF(C45=income_total_row,"/1",
IF(C45="/1",expenses_header_row,
IF(C45&lt;expenses_max_row,C45+1,
IF(C45=expenses_max_row,expenses_total_row,
IF(C45=expenses_total_row, "/2",
IF(C45="/2", savings_header_row,
IF(C45&lt;savings_max_row, C45+1,
IF(C45=savings_max_row, savings_total_row,
-1)))))))))))</f>
        <v/>
      </c>
      <c r="D46" s="36">
        <f> IF(is_header, row_id,
IF(NOT(is_empty), D45, -1))</f>
        <v/>
      </c>
      <c r="E46" s="33">
        <f t="array" ref="E46"> OR(row_id=income_header_row, row_id=expenses_header_row, row_id=savings_header_row) * 1</f>
        <v/>
      </c>
      <c r="F46">
        <f> 1 * NOT(OR(is_header, is_total, is_empty))</f>
        <v/>
      </c>
      <c r="G46">
        <f t="array" ref="G46"> OR(row_id=income_total_row, row_id=expenses_total_row, row_id=savings_total_row) * 1</f>
        <v/>
      </c>
      <c r="H46" s="36">
        <f> OR(row_id="/1", row_id="/2", row_id=-1)*1</f>
        <v/>
      </c>
      <c r="I46" s="33">
        <f t="array" ref="I46"> IFERROR(INDEX('Budget Planning'!$C:$C, header_row_id), "")</f>
        <v/>
      </c>
      <c r="J46">
        <f t="array" ref="J46"> IFERROR(INDEX('Budget Planning'!$C:$C, row_id), "")</f>
        <v/>
      </c>
      <c r="K46" s="65">
        <f t="array" ref="K46"> 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46" s="66">
        <f t="array" ref="L46"> IF(OR(is_header, is_empty), "",
         INDEX('Budget Planning'!$E:$EM, row_id,
                  MATCH(IF(selected_period="Total Year", selected_year, DATE(selected_year, selected_period, 1)), 'Budget Planning'!$E$9:$EM$9, 0)))</f>
        <v/>
      </c>
      <c r="M46" s="33">
        <f t="array" ref="M46">IF(is_cat,
        IF(header_row_id=income_header_row, MATCH(income_min_row, $C:$C, 0),
                 IF(header_row_id=expenses_header_row, MATCH(expenses_min_row, $C:$C, 0),
                          IF(header_row_id=savings_header_row, MATCH(savings_min_row, $C:$C, 0), ""))), "")</f>
        <v/>
      </c>
      <c r="N46" s="36">
        <f t="array" ref="N46">IF(is_cat,
        IF(header_row_id=income_header_row, MATCH(income_max_row, $C:$C, 0),
                 IF(header_row_id=expenses_header_row, MATCH(expenses_max_row, $C:$C, 0),
                          IF(header_row_id=savings_header_row, MATCH(savings_max_row, $C:$C, 0), ""))), "")</f>
        <v/>
      </c>
      <c r="O46" s="33">
        <f> IF(is_cat, ADDRESS(sort_min_row, COLUMN(tracked)) &amp; ":" &amp; ADDRESS(sort_max_row, COLUMN(tracked)), "")</f>
        <v/>
      </c>
      <c r="P46">
        <f> IF(is_cat, RANK(tracked, INDIRECT(tracked_range), 0), "")</f>
        <v/>
      </c>
      <c r="Q46">
        <f> IF(is_cat, ADDRESS(sort_min_row, COLUMN(budget)) &amp; ":" &amp; ADDRESS(sort_max_row, COLUMN(budget)), "")</f>
        <v/>
      </c>
      <c r="R46" s="36">
        <f> IF(is_cat, RANK(budget, INDIRECT(budget_range), 0), "")</f>
        <v/>
      </c>
      <c r="S46" s="33">
        <f> IF(is_cat, _xlfn.NUMBERVALUE(tracked_rank &amp; budget_rank), "")</f>
        <v/>
      </c>
      <c r="T46">
        <f> IF(is_cat, ADDRESS(sort_min_row, COLUMN(comb_rank)) &amp; ":" &amp; ADDRESS(sort_max_row, COLUMN(comb_rank)), "")</f>
        <v/>
      </c>
      <c r="U46">
        <f>IF(is_cat, RANK(comb_rank, INDIRECT(comb_rank_range), 1), "")</f>
        <v/>
      </c>
      <c r="V46">
        <f> IF(is_cat, ADDRESS(sort_min_row, COLUMN(comb_rank_norm)) &amp; ":" &amp; ADDRESS(ROW(), COLUMN(comb_rank_norm)), "")</f>
        <v/>
      </c>
      <c r="W46" s="36">
        <f> IF(is_cat, comb_rank_norm + COUNTIF(INDIRECT(comb_rank_norm_run_range), comb_rank_norm)-1, "")</f>
        <v/>
      </c>
      <c r="X46" s="68">
        <f> IF(is_cat, header_row_id + comb_rank_unique, row_id)</f>
        <v/>
      </c>
      <c r="Y46" s="69">
        <f> IF(is_empty, "", INDEX($J:$J, MATCH(row_id, $X:$X, 0)))</f>
        <v/>
      </c>
      <c r="Z46" s="72">
        <f> IF(is_empty, "", IF(is_header, "Tracked", INDEX($K:$K, MATCH(row_id, $X:$X, 0))))</f>
        <v/>
      </c>
      <c r="AA46" s="72">
        <f> IF(is_empty, "", IF(is_header, "Budget", INDEX($L:$L, MATCH(row_id, $X:$X, 0))))</f>
        <v/>
      </c>
      <c r="AB46" s="71">
        <f> IF(is_empty, "", IF(is_header, "% Compl.", IFERROR(out_tracked / out_budget, "-")))</f>
        <v/>
      </c>
      <c r="AC46" s="72">
        <f> IF(is_empty, "", IF(is_header, "Remaining", IF(out_budget - out_tracked &gt; 0, out_budget - out_tracked, 0)))</f>
        <v/>
      </c>
      <c r="AD46" s="72">
        <f> IF(is_empty, "", IF(is_header, "Excess", IF(out_budget - out_tracked &lt; 0, out_tracked - out_budget, 0)))</f>
        <v/>
      </c>
    </row>
    <row r="47">
      <c r="C47" s="33">
        <f t="array" ref="C47">IF(C46=-1,-1,
IF(C46&lt;income_max_row,C46+1,
IF(C46=income_max_row,income_total_row,
IF(C46=income_total_row,"/1",
IF(C46="/1",expenses_header_row,
IF(C46&lt;expenses_max_row,C46+1,
IF(C46=expenses_max_row,expenses_total_row,
IF(C46=expenses_total_row, "/2",
IF(C46="/2", savings_header_row,
IF(C46&lt;savings_max_row, C46+1,
IF(C46=savings_max_row, savings_total_row,
-1)))))))))))</f>
        <v/>
      </c>
      <c r="D47" s="36">
        <f> IF(is_header, row_id,
IF(NOT(is_empty), D46, -1))</f>
        <v/>
      </c>
      <c r="E47" s="33">
        <f t="array" ref="E47"> OR(row_id=income_header_row, row_id=expenses_header_row, row_id=savings_header_row) * 1</f>
        <v/>
      </c>
      <c r="F47">
        <f> 1 * NOT(OR(is_header, is_total, is_empty))</f>
        <v/>
      </c>
      <c r="G47">
        <f t="array" ref="G47"> OR(row_id=income_total_row, row_id=expenses_total_row, row_id=savings_total_row) * 1</f>
        <v/>
      </c>
      <c r="H47" s="36">
        <f> OR(row_id="/1", row_id="/2", row_id=-1)*1</f>
        <v/>
      </c>
      <c r="I47" s="33">
        <f t="array" ref="I47"> IFERROR(INDEX('Budget Planning'!$C:$C, header_row_id), "")</f>
        <v/>
      </c>
      <c r="J47">
        <f t="array" ref="J47"> IFERROR(INDEX('Budget Planning'!$C:$C, row_id), "")</f>
        <v/>
      </c>
      <c r="K47" s="65">
        <f t="array" ref="K47"> 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47" s="66">
        <f t="array" ref="L47"> IF(OR(is_header, is_empty), "",
         INDEX('Budget Planning'!$E:$EM, row_id,
                  MATCH(IF(selected_period="Total Year", selected_year, DATE(selected_year, selected_period, 1)), 'Budget Planning'!$E$9:$EM$9, 0)))</f>
        <v/>
      </c>
      <c r="M47" s="33">
        <f t="array" ref="M47">IF(is_cat,
        IF(header_row_id=income_header_row, MATCH(income_min_row, $C:$C, 0),
                 IF(header_row_id=expenses_header_row, MATCH(expenses_min_row, $C:$C, 0),
                          IF(header_row_id=savings_header_row, MATCH(savings_min_row, $C:$C, 0), ""))), "")</f>
        <v/>
      </c>
      <c r="N47" s="36">
        <f t="array" ref="N47">IF(is_cat,
        IF(header_row_id=income_header_row, MATCH(income_max_row, $C:$C, 0),
                 IF(header_row_id=expenses_header_row, MATCH(expenses_max_row, $C:$C, 0),
                          IF(header_row_id=savings_header_row, MATCH(savings_max_row, $C:$C, 0), ""))), "")</f>
        <v/>
      </c>
      <c r="O47" s="33">
        <f> IF(is_cat, ADDRESS(sort_min_row, COLUMN(tracked)) &amp; ":" &amp; ADDRESS(sort_max_row, COLUMN(tracked)), "")</f>
        <v/>
      </c>
      <c r="P47">
        <f> IF(is_cat, RANK(tracked, INDIRECT(tracked_range), 0), "")</f>
        <v/>
      </c>
      <c r="Q47">
        <f> IF(is_cat, ADDRESS(sort_min_row, COLUMN(budget)) &amp; ":" &amp; ADDRESS(sort_max_row, COLUMN(budget)), "")</f>
        <v/>
      </c>
      <c r="R47" s="36">
        <f> IF(is_cat, RANK(budget, INDIRECT(budget_range), 0), "")</f>
        <v/>
      </c>
      <c r="S47" s="33">
        <f> IF(is_cat, _xlfn.NUMBERVALUE(tracked_rank &amp; budget_rank), "")</f>
        <v/>
      </c>
      <c r="T47">
        <f> IF(is_cat, ADDRESS(sort_min_row, COLUMN(comb_rank)) &amp; ":" &amp; ADDRESS(sort_max_row, COLUMN(comb_rank)), "")</f>
        <v/>
      </c>
      <c r="U47">
        <f>IF(is_cat, RANK(comb_rank, INDIRECT(comb_rank_range), 1), "")</f>
        <v/>
      </c>
      <c r="V47">
        <f> IF(is_cat, ADDRESS(sort_min_row, COLUMN(comb_rank_norm)) &amp; ":" &amp; ADDRESS(ROW(), COLUMN(comb_rank_norm)), "")</f>
        <v/>
      </c>
      <c r="W47" s="36">
        <f> IF(is_cat, comb_rank_norm + COUNTIF(INDIRECT(comb_rank_norm_run_range), comb_rank_norm)-1, "")</f>
        <v/>
      </c>
      <c r="X47" s="68">
        <f> IF(is_cat, header_row_id + comb_rank_unique, row_id)</f>
        <v/>
      </c>
      <c r="Y47" s="69">
        <f> IF(is_empty, "", INDEX($J:$J, MATCH(row_id, $X:$X, 0)))</f>
        <v/>
      </c>
      <c r="Z47" s="72">
        <f> IF(is_empty, "", IF(is_header, "Tracked", INDEX($K:$K, MATCH(row_id, $X:$X, 0))))</f>
        <v/>
      </c>
      <c r="AA47" s="72">
        <f> IF(is_empty, "", IF(is_header, "Budget", INDEX($L:$L, MATCH(row_id, $X:$X, 0))))</f>
        <v/>
      </c>
      <c r="AB47" s="71">
        <f> IF(is_empty, "", IF(is_header, "% Compl.", IFERROR(out_tracked / out_budget, "-")))</f>
        <v/>
      </c>
      <c r="AC47" s="72">
        <f> IF(is_empty, "", IF(is_header, "Remaining", IF(out_budget - out_tracked &gt; 0, out_budget - out_tracked, 0)))</f>
        <v/>
      </c>
      <c r="AD47" s="72">
        <f> IF(is_empty, "", IF(is_header, "Excess", IF(out_budget - out_tracked &lt; 0, out_tracked - out_budget, 0)))</f>
        <v/>
      </c>
    </row>
    <row r="48">
      <c r="C48" s="33">
        <f t="array" ref="C48">IF(C47=-1,-1,
IF(C47&lt;income_max_row,C47+1,
IF(C47=income_max_row,income_total_row,
IF(C47=income_total_row,"/1",
IF(C47="/1",expenses_header_row,
IF(C47&lt;expenses_max_row,C47+1,
IF(C47=expenses_max_row,expenses_total_row,
IF(C47=expenses_total_row, "/2",
IF(C47="/2", savings_header_row,
IF(C47&lt;savings_max_row, C47+1,
IF(C47=savings_max_row, savings_total_row,
-1)))))))))))</f>
        <v/>
      </c>
      <c r="D48" s="36">
        <f> IF(is_header, row_id,
IF(NOT(is_empty), D47, -1))</f>
        <v/>
      </c>
      <c r="E48" s="33">
        <f t="array" ref="E48"> OR(row_id=income_header_row, row_id=expenses_header_row, row_id=savings_header_row) * 1</f>
        <v/>
      </c>
      <c r="F48">
        <f> 1 * NOT(OR(is_header, is_total, is_empty))</f>
        <v/>
      </c>
      <c r="G48">
        <f t="array" ref="G48"> OR(row_id=income_total_row, row_id=expenses_total_row, row_id=savings_total_row) * 1</f>
        <v/>
      </c>
      <c r="H48" s="36">
        <f> OR(row_id="/1", row_id="/2", row_id=-1)*1</f>
        <v/>
      </c>
      <c r="I48" s="33">
        <f t="array" ref="I48"> IFERROR(INDEX('Budget Planning'!$C:$C, header_row_id), "")</f>
        <v/>
      </c>
      <c r="J48">
        <f t="array" ref="J48"> IFERROR(INDEX('Budget Planning'!$C:$C, row_id), "")</f>
        <v/>
      </c>
      <c r="K48" s="65">
        <f t="array" ref="K48"> 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48" s="66">
        <f t="array" ref="L48"> IF(OR(is_header, is_empty), "",
         INDEX('Budget Planning'!$E:$EM, row_id,
                  MATCH(IF(selected_period="Total Year", selected_year, DATE(selected_year, selected_period, 1)), 'Budget Planning'!$E$9:$EM$9, 0)))</f>
        <v/>
      </c>
      <c r="M48" s="33">
        <f t="array" ref="M48">IF(is_cat,
        IF(header_row_id=income_header_row, MATCH(income_min_row, $C:$C, 0),
                 IF(header_row_id=expenses_header_row, MATCH(expenses_min_row, $C:$C, 0),
                          IF(header_row_id=savings_header_row, MATCH(savings_min_row, $C:$C, 0), ""))), "")</f>
        <v/>
      </c>
      <c r="N48" s="36">
        <f t="array" ref="N48">IF(is_cat,
        IF(header_row_id=income_header_row, MATCH(income_max_row, $C:$C, 0),
                 IF(header_row_id=expenses_header_row, MATCH(expenses_max_row, $C:$C, 0),
                          IF(header_row_id=savings_header_row, MATCH(savings_max_row, $C:$C, 0), ""))), "")</f>
        <v/>
      </c>
      <c r="O48" s="33">
        <f> IF(is_cat, ADDRESS(sort_min_row, COLUMN(tracked)) &amp; ":" &amp; ADDRESS(sort_max_row, COLUMN(tracked)), "")</f>
        <v/>
      </c>
      <c r="P48">
        <f> IF(is_cat, RANK(tracked, INDIRECT(tracked_range), 0), "")</f>
        <v/>
      </c>
      <c r="Q48">
        <f> IF(is_cat, ADDRESS(sort_min_row, COLUMN(budget)) &amp; ":" &amp; ADDRESS(sort_max_row, COLUMN(budget)), "")</f>
        <v/>
      </c>
      <c r="R48" s="36">
        <f> IF(is_cat, RANK(budget, INDIRECT(budget_range), 0), "")</f>
        <v/>
      </c>
      <c r="S48" s="33">
        <f> IF(is_cat, _xlfn.NUMBERVALUE(tracked_rank &amp; budget_rank), "")</f>
        <v/>
      </c>
      <c r="T48">
        <f> IF(is_cat, ADDRESS(sort_min_row, COLUMN(comb_rank)) &amp; ":" &amp; ADDRESS(sort_max_row, COLUMN(comb_rank)), "")</f>
        <v/>
      </c>
      <c r="U48">
        <f>IF(is_cat, RANK(comb_rank, INDIRECT(comb_rank_range), 1), "")</f>
        <v/>
      </c>
      <c r="V48">
        <f> IF(is_cat, ADDRESS(sort_min_row, COLUMN(comb_rank_norm)) &amp; ":" &amp; ADDRESS(ROW(), COLUMN(comb_rank_norm)), "")</f>
        <v/>
      </c>
      <c r="W48" s="36">
        <f> IF(is_cat, comb_rank_norm + COUNTIF(INDIRECT(comb_rank_norm_run_range), comb_rank_norm)-1, "")</f>
        <v/>
      </c>
      <c r="X48" s="68">
        <f> IF(is_cat, header_row_id + comb_rank_unique, row_id)</f>
        <v/>
      </c>
      <c r="Y48" s="69">
        <f> IF(is_empty, "", INDEX($J:$J, MATCH(row_id, $X:$X, 0)))</f>
        <v/>
      </c>
      <c r="Z48" s="72">
        <f> IF(is_empty, "", IF(is_header, "Tracked", INDEX($K:$K, MATCH(row_id, $X:$X, 0))))</f>
        <v/>
      </c>
      <c r="AA48" s="72">
        <f> IF(is_empty, "", IF(is_header, "Budget", INDEX($L:$L, MATCH(row_id, $X:$X, 0))))</f>
        <v/>
      </c>
      <c r="AB48" s="71">
        <f> IF(is_empty, "", IF(is_header, "% Compl.", IFERROR(out_tracked / out_budget, "-")))</f>
        <v/>
      </c>
      <c r="AC48" s="72">
        <f> IF(is_empty, "", IF(is_header, "Remaining", IF(out_budget - out_tracked &gt; 0, out_budget - out_tracked, 0)))</f>
        <v/>
      </c>
      <c r="AD48" s="72">
        <f> IF(is_empty, "", IF(is_header, "Excess", IF(out_budget - out_tracked &lt; 0, out_tracked - out_budget, 0)))</f>
        <v/>
      </c>
    </row>
    <row r="49">
      <c r="C49" s="33">
        <f t="array" ref="C49">IF(C48=-1,-1,
IF(C48&lt;income_max_row,C48+1,
IF(C48=income_max_row,income_total_row,
IF(C48=income_total_row,"/1",
IF(C48="/1",expenses_header_row,
IF(C48&lt;expenses_max_row,C48+1,
IF(C48=expenses_max_row,expenses_total_row,
IF(C48=expenses_total_row, "/2",
IF(C48="/2", savings_header_row,
IF(C48&lt;savings_max_row, C48+1,
IF(C48=savings_max_row, savings_total_row,
-1)))))))))))</f>
        <v/>
      </c>
      <c r="D49" s="36">
        <f> IF(is_header, row_id,
IF(NOT(is_empty), D48, -1))</f>
        <v/>
      </c>
      <c r="E49" s="33">
        <f t="array" ref="E49"> OR(row_id=income_header_row, row_id=expenses_header_row, row_id=savings_header_row) * 1</f>
        <v/>
      </c>
      <c r="F49">
        <f> 1 * NOT(OR(is_header, is_total, is_empty))</f>
        <v/>
      </c>
      <c r="G49">
        <f t="array" ref="G49"> OR(row_id=income_total_row, row_id=expenses_total_row, row_id=savings_total_row) * 1</f>
        <v/>
      </c>
      <c r="H49" s="36">
        <f> OR(row_id="/1", row_id="/2", row_id=-1)*1</f>
        <v/>
      </c>
      <c r="I49" s="33">
        <f t="array" ref="I49"> IFERROR(INDEX('Budget Planning'!$C:$C, header_row_id), "")</f>
        <v/>
      </c>
      <c r="J49">
        <f t="array" ref="J49"> IFERROR(INDEX('Budget Planning'!$C:$C, row_id), "")</f>
        <v/>
      </c>
      <c r="K49" s="65">
        <f t="array" ref="K49"> 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49" s="66">
        <f t="array" ref="L49"> IF(OR(is_header, is_empty), "",
         INDEX('Budget Planning'!$E:$EM, row_id,
                  MATCH(IF(selected_period="Total Year", selected_year, DATE(selected_year, selected_period, 1)), 'Budget Planning'!$E$9:$EM$9, 0)))</f>
        <v/>
      </c>
      <c r="M49" s="33">
        <f t="array" ref="M49">IF(is_cat,
        IF(header_row_id=income_header_row, MATCH(income_min_row, $C:$C, 0),
                 IF(header_row_id=expenses_header_row, MATCH(expenses_min_row, $C:$C, 0),
                          IF(header_row_id=savings_header_row, MATCH(savings_min_row, $C:$C, 0), ""))), "")</f>
        <v/>
      </c>
      <c r="N49" s="36">
        <f t="array" ref="N49">IF(is_cat,
        IF(header_row_id=income_header_row, MATCH(income_max_row, $C:$C, 0),
                 IF(header_row_id=expenses_header_row, MATCH(expenses_max_row, $C:$C, 0),
                          IF(header_row_id=savings_header_row, MATCH(savings_max_row, $C:$C, 0), ""))), "")</f>
        <v/>
      </c>
      <c r="O49" s="33">
        <f> IF(is_cat, ADDRESS(sort_min_row, COLUMN(tracked)) &amp; ":" &amp; ADDRESS(sort_max_row, COLUMN(tracked)), "")</f>
        <v/>
      </c>
      <c r="P49">
        <f> IF(is_cat, RANK(tracked, INDIRECT(tracked_range), 0), "")</f>
        <v/>
      </c>
      <c r="Q49">
        <f> IF(is_cat, ADDRESS(sort_min_row, COLUMN(budget)) &amp; ":" &amp; ADDRESS(sort_max_row, COLUMN(budget)), "")</f>
        <v/>
      </c>
      <c r="R49" s="36">
        <f> IF(is_cat, RANK(budget, INDIRECT(budget_range), 0), "")</f>
        <v/>
      </c>
      <c r="S49" s="33">
        <f> IF(is_cat, _xlfn.NUMBERVALUE(tracked_rank &amp; budget_rank), "")</f>
        <v/>
      </c>
      <c r="T49">
        <f> IF(is_cat, ADDRESS(sort_min_row, COLUMN(comb_rank)) &amp; ":" &amp; ADDRESS(sort_max_row, COLUMN(comb_rank)), "")</f>
        <v/>
      </c>
      <c r="U49">
        <f>IF(is_cat, RANK(comb_rank, INDIRECT(comb_rank_range), 1), "")</f>
        <v/>
      </c>
      <c r="V49">
        <f> IF(is_cat, ADDRESS(sort_min_row, COLUMN(comb_rank_norm)) &amp; ":" &amp; ADDRESS(ROW(), COLUMN(comb_rank_norm)), "")</f>
        <v/>
      </c>
      <c r="W49" s="36">
        <f> IF(is_cat, comb_rank_norm + COUNTIF(INDIRECT(comb_rank_norm_run_range), comb_rank_norm)-1, "")</f>
        <v/>
      </c>
      <c r="X49" s="68">
        <f> IF(is_cat, header_row_id + comb_rank_unique, row_id)</f>
        <v/>
      </c>
      <c r="Y49" s="69">
        <f> IF(is_empty, "", INDEX($J:$J, MATCH(row_id, $X:$X, 0)))</f>
        <v/>
      </c>
      <c r="Z49" s="72">
        <f> IF(is_empty, "", IF(is_header, "Tracked", INDEX($K:$K, MATCH(row_id, $X:$X, 0))))</f>
        <v/>
      </c>
      <c r="AA49" s="72">
        <f> IF(is_empty, "", IF(is_header, "Budget", INDEX($L:$L, MATCH(row_id, $X:$X, 0))))</f>
        <v/>
      </c>
      <c r="AB49" s="71">
        <f> IF(is_empty, "", IF(is_header, "% Compl.", IFERROR(out_tracked / out_budget, "-")))</f>
        <v/>
      </c>
      <c r="AC49" s="72">
        <f> IF(is_empty, "", IF(is_header, "Remaining", IF(out_budget - out_tracked &gt; 0, out_budget - out_tracked, 0)))</f>
        <v/>
      </c>
      <c r="AD49" s="72">
        <f> IF(is_empty, "", IF(is_header, "Excess", IF(out_budget - out_tracked &lt; 0, out_tracked - out_budget, 0)))</f>
        <v/>
      </c>
    </row>
    <row r="50">
      <c r="C50" s="33">
        <f t="array" ref="C50">IF(C49=-1,-1,
IF(C49&lt;income_max_row,C49+1,
IF(C49=income_max_row,income_total_row,
IF(C49=income_total_row,"/1",
IF(C49="/1",expenses_header_row,
IF(C49&lt;expenses_max_row,C49+1,
IF(C49=expenses_max_row,expenses_total_row,
IF(C49=expenses_total_row, "/2",
IF(C49="/2", savings_header_row,
IF(C49&lt;savings_max_row, C49+1,
IF(C49=savings_max_row, savings_total_row,
-1)))))))))))</f>
        <v/>
      </c>
      <c r="D50" s="36">
        <f> IF(is_header, row_id,
IF(NOT(is_empty), D49, -1))</f>
        <v/>
      </c>
      <c r="E50" s="33">
        <f t="array" ref="E50"> OR(row_id=income_header_row, row_id=expenses_header_row, row_id=savings_header_row) * 1</f>
        <v/>
      </c>
      <c r="F50">
        <f> 1 * NOT(OR(is_header, is_total, is_empty))</f>
        <v/>
      </c>
      <c r="G50">
        <f t="array" ref="G50"> OR(row_id=income_total_row, row_id=expenses_total_row, row_id=savings_total_row) * 1</f>
        <v/>
      </c>
      <c r="H50" s="36">
        <f> OR(row_id="/1", row_id="/2", row_id=-1)*1</f>
        <v/>
      </c>
      <c r="I50" s="33">
        <f t="array" ref="I50"> IFERROR(INDEX('Budget Planning'!$C:$C, header_row_id), "")</f>
        <v/>
      </c>
      <c r="J50">
        <f t="array" ref="J50"> IFERROR(INDEX('Budget Planning'!$C:$C, row_id), "")</f>
        <v/>
      </c>
      <c r="K50" s="65">
        <f t="array" ref="K50"> 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50" s="66">
        <f t="array" ref="L50"> IF(OR(is_header, is_empty), "",
         INDEX('Budget Planning'!$E:$EM, row_id,
                  MATCH(IF(selected_period="Total Year", selected_year, DATE(selected_year, selected_period, 1)), 'Budget Planning'!$E$9:$EM$9, 0)))</f>
        <v/>
      </c>
      <c r="M50" s="33">
        <f t="array" ref="M50">IF(is_cat,
        IF(header_row_id=income_header_row, MATCH(income_min_row, $C:$C, 0),
                 IF(header_row_id=expenses_header_row, MATCH(expenses_min_row, $C:$C, 0),
                          IF(header_row_id=savings_header_row, MATCH(savings_min_row, $C:$C, 0), ""))), "")</f>
        <v/>
      </c>
      <c r="N50" s="36">
        <f t="array" ref="N50">IF(is_cat,
        IF(header_row_id=income_header_row, MATCH(income_max_row, $C:$C, 0),
                 IF(header_row_id=expenses_header_row, MATCH(expenses_max_row, $C:$C, 0),
                          IF(header_row_id=savings_header_row, MATCH(savings_max_row, $C:$C, 0), ""))), "")</f>
        <v/>
      </c>
      <c r="O50" s="33">
        <f> IF(is_cat, ADDRESS(sort_min_row, COLUMN(tracked)) &amp; ":" &amp; ADDRESS(sort_max_row, COLUMN(tracked)), "")</f>
        <v/>
      </c>
      <c r="P50">
        <f> IF(is_cat, RANK(tracked, INDIRECT(tracked_range), 0), "")</f>
        <v/>
      </c>
      <c r="Q50">
        <f> IF(is_cat, ADDRESS(sort_min_row, COLUMN(budget)) &amp; ":" &amp; ADDRESS(sort_max_row, COLUMN(budget)), "")</f>
        <v/>
      </c>
      <c r="R50" s="36">
        <f> IF(is_cat, RANK(budget, INDIRECT(budget_range), 0), "")</f>
        <v/>
      </c>
      <c r="S50" s="33">
        <f> IF(is_cat, _xlfn.NUMBERVALUE(tracked_rank &amp; budget_rank), "")</f>
        <v/>
      </c>
      <c r="T50">
        <f> IF(is_cat, ADDRESS(sort_min_row, COLUMN(comb_rank)) &amp; ":" &amp; ADDRESS(sort_max_row, COLUMN(comb_rank)), "")</f>
        <v/>
      </c>
      <c r="U50">
        <f>IF(is_cat, RANK(comb_rank, INDIRECT(comb_rank_range), 1), "")</f>
        <v/>
      </c>
      <c r="V50">
        <f> IF(is_cat, ADDRESS(sort_min_row, COLUMN(comb_rank_norm)) &amp; ":" &amp; ADDRESS(ROW(), COLUMN(comb_rank_norm)), "")</f>
        <v/>
      </c>
      <c r="W50" s="36">
        <f> IF(is_cat, comb_rank_norm + COUNTIF(INDIRECT(comb_rank_norm_run_range), comb_rank_norm)-1, "")</f>
        <v/>
      </c>
      <c r="X50" s="68">
        <f> IF(is_cat, header_row_id + comb_rank_unique, row_id)</f>
        <v/>
      </c>
      <c r="Y50" s="69">
        <f> IF(is_empty, "", INDEX($J:$J, MATCH(row_id, $X:$X, 0)))</f>
        <v/>
      </c>
      <c r="Z50" s="72">
        <f> IF(is_empty, "", IF(is_header, "Tracked", INDEX($K:$K, MATCH(row_id, $X:$X, 0))))</f>
        <v/>
      </c>
      <c r="AA50" s="72">
        <f> IF(is_empty, "", IF(is_header, "Budget", INDEX($L:$L, MATCH(row_id, $X:$X, 0))))</f>
        <v/>
      </c>
      <c r="AB50" s="71">
        <f> IF(is_empty, "", IF(is_header, "% Compl.", IFERROR(out_tracked / out_budget, "-")))</f>
        <v/>
      </c>
      <c r="AC50" s="72">
        <f> IF(is_empty, "", IF(is_header, "Remaining", IF(out_budget - out_tracked &gt; 0, out_budget - out_tracked, 0)))</f>
        <v/>
      </c>
      <c r="AD50" s="72">
        <f> IF(is_empty, "", IF(is_header, "Excess", IF(out_budget - out_tracked &lt; 0, out_tracked - out_budget, 0)))</f>
        <v/>
      </c>
    </row>
    <row r="51">
      <c r="C51" s="33">
        <f t="array" ref="C51">IF(C50=-1,-1,
IF(C50&lt;income_max_row,C50+1,
IF(C50=income_max_row,income_total_row,
IF(C50=income_total_row,"/1",
IF(C50="/1",expenses_header_row,
IF(C50&lt;expenses_max_row,C50+1,
IF(C50=expenses_max_row,expenses_total_row,
IF(C50=expenses_total_row, "/2",
IF(C50="/2", savings_header_row,
IF(C50&lt;savings_max_row, C50+1,
IF(C50=savings_max_row, savings_total_row,
-1)))))))))))</f>
        <v/>
      </c>
      <c r="D51" s="36">
        <f> IF(is_header, row_id,
IF(NOT(is_empty), D50, -1))</f>
        <v/>
      </c>
      <c r="E51" s="33">
        <f t="array" ref="E51"> OR(row_id=income_header_row, row_id=expenses_header_row, row_id=savings_header_row) * 1</f>
        <v/>
      </c>
      <c r="F51">
        <f> 1 * NOT(OR(is_header, is_total, is_empty))</f>
        <v/>
      </c>
      <c r="G51">
        <f t="array" ref="G51"> OR(row_id=income_total_row, row_id=expenses_total_row, row_id=savings_total_row) * 1</f>
        <v/>
      </c>
      <c r="H51" s="36">
        <f> OR(row_id="/1", row_id="/2", row_id=-1)*1</f>
        <v/>
      </c>
      <c r="I51" s="33">
        <f t="array" ref="I51"> IFERROR(INDEX('Budget Planning'!$C:$C, header_row_id), "")</f>
        <v/>
      </c>
      <c r="J51">
        <f t="array" ref="J51"> IFERROR(INDEX('Budget Planning'!$C:$C, row_id), "")</f>
        <v/>
      </c>
      <c r="K51" s="65">
        <f t="array" ref="K51"> 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51" s="66">
        <f t="array" ref="L51"> IF(OR(is_header, is_empty), "",
         INDEX('Budget Planning'!$E:$EM, row_id,
                  MATCH(IF(selected_period="Total Year", selected_year, DATE(selected_year, selected_period, 1)), 'Budget Planning'!$E$9:$EM$9, 0)))</f>
        <v/>
      </c>
      <c r="M51" s="33">
        <f t="array" ref="M51">IF(is_cat,
        IF(header_row_id=income_header_row, MATCH(income_min_row, $C:$C, 0),
                 IF(header_row_id=expenses_header_row, MATCH(expenses_min_row, $C:$C, 0),
                          IF(header_row_id=savings_header_row, MATCH(savings_min_row, $C:$C, 0), ""))), "")</f>
        <v/>
      </c>
      <c r="N51" s="36">
        <f t="array" ref="N51">IF(is_cat,
        IF(header_row_id=income_header_row, MATCH(income_max_row, $C:$C, 0),
                 IF(header_row_id=expenses_header_row, MATCH(expenses_max_row, $C:$C, 0),
                          IF(header_row_id=savings_header_row, MATCH(savings_max_row, $C:$C, 0), ""))), "")</f>
        <v/>
      </c>
      <c r="O51" s="33">
        <f> IF(is_cat, ADDRESS(sort_min_row, COLUMN(tracked)) &amp; ":" &amp; ADDRESS(sort_max_row, COLUMN(tracked)), "")</f>
        <v/>
      </c>
      <c r="P51">
        <f> IF(is_cat, RANK(tracked, INDIRECT(tracked_range), 0), "")</f>
        <v/>
      </c>
      <c r="Q51">
        <f> IF(is_cat, ADDRESS(sort_min_row, COLUMN(budget)) &amp; ":" &amp; ADDRESS(sort_max_row, COLUMN(budget)), "")</f>
        <v/>
      </c>
      <c r="R51" s="36">
        <f> IF(is_cat, RANK(budget, INDIRECT(budget_range), 0), "")</f>
        <v/>
      </c>
      <c r="S51" s="33">
        <f> IF(is_cat, _xlfn.NUMBERVALUE(tracked_rank &amp; budget_rank), "")</f>
        <v/>
      </c>
      <c r="T51">
        <f> IF(is_cat, ADDRESS(sort_min_row, COLUMN(comb_rank)) &amp; ":" &amp; ADDRESS(sort_max_row, COLUMN(comb_rank)), "")</f>
        <v/>
      </c>
      <c r="U51">
        <f>IF(is_cat, RANK(comb_rank, INDIRECT(comb_rank_range), 1), "")</f>
        <v/>
      </c>
      <c r="V51">
        <f> IF(is_cat, ADDRESS(sort_min_row, COLUMN(comb_rank_norm)) &amp; ":" &amp; ADDRESS(ROW(), COLUMN(comb_rank_norm)), "")</f>
        <v/>
      </c>
      <c r="W51" s="36">
        <f> IF(is_cat, comb_rank_norm + COUNTIF(INDIRECT(comb_rank_norm_run_range), comb_rank_norm)-1, "")</f>
        <v/>
      </c>
      <c r="X51" s="68">
        <f> IF(is_cat, header_row_id + comb_rank_unique, row_id)</f>
        <v/>
      </c>
      <c r="Y51" s="69">
        <f> IF(is_empty, "", INDEX($J:$J, MATCH(row_id, $X:$X, 0)))</f>
        <v/>
      </c>
      <c r="Z51" s="72">
        <f> IF(is_empty, "", IF(is_header, "Tracked", INDEX($K:$K, MATCH(row_id, $X:$X, 0))))</f>
        <v/>
      </c>
      <c r="AA51" s="72">
        <f> IF(is_empty, "", IF(is_header, "Budget", INDEX($L:$L, MATCH(row_id, $X:$X, 0))))</f>
        <v/>
      </c>
      <c r="AB51" s="71">
        <f> IF(is_empty, "", IF(is_header, "% Compl.", IFERROR(out_tracked / out_budget, "-")))</f>
        <v/>
      </c>
      <c r="AC51" s="72">
        <f> IF(is_empty, "", IF(is_header, "Remaining", IF(out_budget - out_tracked &gt; 0, out_budget - out_tracked, 0)))</f>
        <v/>
      </c>
      <c r="AD51" s="72">
        <f> IF(is_empty, "", IF(is_header, "Excess", IF(out_budget - out_tracked &lt; 0, out_tracked - out_budget, 0)))</f>
        <v/>
      </c>
    </row>
    <row r="52">
      <c r="C52" s="33">
        <f t="array" ref="C52">IF(C51=-1,-1,
IF(C51&lt;income_max_row,C51+1,
IF(C51=income_max_row,income_total_row,
IF(C51=income_total_row,"/1",
IF(C51="/1",expenses_header_row,
IF(C51&lt;expenses_max_row,C51+1,
IF(C51=expenses_max_row,expenses_total_row,
IF(C51=expenses_total_row, "/2",
IF(C51="/2", savings_header_row,
IF(C51&lt;savings_max_row, C51+1,
IF(C51=savings_max_row, savings_total_row,
-1)))))))))))</f>
        <v/>
      </c>
      <c r="D52" s="36">
        <f> IF(is_header, row_id,
IF(NOT(is_empty), D51, -1))</f>
        <v/>
      </c>
      <c r="E52" s="33">
        <f t="array" ref="E52"> OR(row_id=income_header_row, row_id=expenses_header_row, row_id=savings_header_row) * 1</f>
        <v/>
      </c>
      <c r="F52">
        <f> 1 * NOT(OR(is_header, is_total, is_empty))</f>
        <v/>
      </c>
      <c r="G52">
        <f t="array" ref="G52"> OR(row_id=income_total_row, row_id=expenses_total_row, row_id=savings_total_row) * 1</f>
        <v/>
      </c>
      <c r="H52" s="36">
        <f> OR(row_id="/1", row_id="/2", row_id=-1)*1</f>
        <v/>
      </c>
      <c r="I52" s="33">
        <f t="array" ref="I52"> IFERROR(INDEX('Budget Planning'!$C:$C, header_row_id), "")</f>
        <v/>
      </c>
      <c r="J52">
        <f t="array" ref="J52"> IFERROR(INDEX('Budget Planning'!$C:$C, row_id), "")</f>
        <v/>
      </c>
      <c r="K52" s="65">
        <f t="array" ref="K52"> 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52" s="66">
        <f t="array" ref="L52"> IF(OR(is_header, is_empty), "",
         INDEX('Budget Planning'!$E:$EM, row_id,
                  MATCH(IF(selected_period="Total Year", selected_year, DATE(selected_year, selected_period, 1)), 'Budget Planning'!$E$9:$EM$9, 0)))</f>
        <v/>
      </c>
      <c r="M52" s="33">
        <f t="array" ref="M52">IF(is_cat,
        IF(header_row_id=income_header_row, MATCH(income_min_row, $C:$C, 0),
                 IF(header_row_id=expenses_header_row, MATCH(expenses_min_row, $C:$C, 0),
                          IF(header_row_id=savings_header_row, MATCH(savings_min_row, $C:$C, 0), ""))), "")</f>
        <v/>
      </c>
      <c r="N52" s="36">
        <f t="array" ref="N52">IF(is_cat,
        IF(header_row_id=income_header_row, MATCH(income_max_row, $C:$C, 0),
                 IF(header_row_id=expenses_header_row, MATCH(expenses_max_row, $C:$C, 0),
                          IF(header_row_id=savings_header_row, MATCH(savings_max_row, $C:$C, 0), ""))), "")</f>
        <v/>
      </c>
      <c r="O52" s="33">
        <f> IF(is_cat, ADDRESS(sort_min_row, COLUMN(tracked)) &amp; ":" &amp; ADDRESS(sort_max_row, COLUMN(tracked)), "")</f>
        <v/>
      </c>
      <c r="P52">
        <f> IF(is_cat, RANK(tracked, INDIRECT(tracked_range), 0), "")</f>
        <v/>
      </c>
      <c r="Q52">
        <f> IF(is_cat, ADDRESS(sort_min_row, COLUMN(budget)) &amp; ":" &amp; ADDRESS(sort_max_row, COLUMN(budget)), "")</f>
        <v/>
      </c>
      <c r="R52" s="36">
        <f> IF(is_cat, RANK(budget, INDIRECT(budget_range), 0), "")</f>
        <v/>
      </c>
      <c r="S52" s="33">
        <f> IF(is_cat, _xlfn.NUMBERVALUE(tracked_rank &amp; budget_rank), "")</f>
        <v/>
      </c>
      <c r="T52">
        <f> IF(is_cat, ADDRESS(sort_min_row, COLUMN(comb_rank)) &amp; ":" &amp; ADDRESS(sort_max_row, COLUMN(comb_rank)), "")</f>
        <v/>
      </c>
      <c r="U52">
        <f>IF(is_cat, RANK(comb_rank, INDIRECT(comb_rank_range), 1), "")</f>
        <v/>
      </c>
      <c r="V52">
        <f> IF(is_cat, ADDRESS(sort_min_row, COLUMN(comb_rank_norm)) &amp; ":" &amp; ADDRESS(ROW(), COLUMN(comb_rank_norm)), "")</f>
        <v/>
      </c>
      <c r="W52" s="36">
        <f> IF(is_cat, comb_rank_norm + COUNTIF(INDIRECT(comb_rank_norm_run_range), comb_rank_norm)-1, "")</f>
        <v/>
      </c>
      <c r="X52" s="68">
        <f> IF(is_cat, header_row_id + comb_rank_unique, row_id)</f>
        <v/>
      </c>
      <c r="Y52" s="69">
        <f> IF(is_empty, "", INDEX($J:$J, MATCH(row_id, $X:$X, 0)))</f>
        <v/>
      </c>
      <c r="Z52" s="72">
        <f> IF(is_empty, "", IF(is_header, "Tracked", INDEX($K:$K, MATCH(row_id, $X:$X, 0))))</f>
        <v/>
      </c>
      <c r="AA52" s="72">
        <f> IF(is_empty, "", IF(is_header, "Budget", INDEX($L:$L, MATCH(row_id, $X:$X, 0))))</f>
        <v/>
      </c>
      <c r="AB52" s="71">
        <f> IF(is_empty, "", IF(is_header, "% Compl.", IFERROR(out_tracked / out_budget, "-")))</f>
        <v/>
      </c>
      <c r="AC52" s="72">
        <f> IF(is_empty, "", IF(is_header, "Remaining", IF(out_budget - out_tracked &gt; 0, out_budget - out_tracked, 0)))</f>
        <v/>
      </c>
      <c r="AD52" s="72">
        <f> IF(is_empty, "", IF(is_header, "Excess", IF(out_budget - out_tracked &lt; 0, out_tracked - out_budget, 0)))</f>
        <v/>
      </c>
    </row>
    <row r="53">
      <c r="C53" s="33">
        <f t="array" ref="C53">IF(C52=-1,-1,
IF(C52&lt;income_max_row,C52+1,
IF(C52=income_max_row,income_total_row,
IF(C52=income_total_row,"/1",
IF(C52="/1",expenses_header_row,
IF(C52&lt;expenses_max_row,C52+1,
IF(C52=expenses_max_row,expenses_total_row,
IF(C52=expenses_total_row, "/2",
IF(C52="/2", savings_header_row,
IF(C52&lt;savings_max_row, C52+1,
IF(C52=savings_max_row, savings_total_row,
-1)))))))))))</f>
        <v/>
      </c>
      <c r="D53" s="36">
        <f> IF(is_header, row_id,
IF(NOT(is_empty), D52, -1))</f>
        <v/>
      </c>
      <c r="E53" s="33">
        <f t="array" ref="E53"> OR(row_id=income_header_row, row_id=expenses_header_row, row_id=savings_header_row) * 1</f>
        <v/>
      </c>
      <c r="F53">
        <f> 1 * NOT(OR(is_header, is_total, is_empty))</f>
        <v/>
      </c>
      <c r="G53">
        <f t="array" ref="G53"> OR(row_id=income_total_row, row_id=expenses_total_row, row_id=savings_total_row) * 1</f>
        <v/>
      </c>
      <c r="H53" s="36">
        <f> OR(row_id="/1", row_id="/2", row_id=-1)*1</f>
        <v/>
      </c>
      <c r="I53" s="33">
        <f t="array" ref="I53"> IFERROR(INDEX('Budget Planning'!$C:$C, header_row_id), "")</f>
        <v/>
      </c>
      <c r="J53">
        <f t="array" ref="J53"> IFERROR(INDEX('Budget Planning'!$C:$C, row_id), "")</f>
        <v/>
      </c>
      <c r="K53" s="65">
        <f t="array" ref="K53"> IF(OR(is_header, is_empty), "",
       IF(is_total,
           IF(selected_period="Total Year",
                SUM(tracking[Amount] * (tracking[Type]=type) * (YEAR(tracking[Effective Date])=selected_year)),
                SUM(tracking[Amount] * (tracking[Type]=type) * (YEAR(tracking[Effective Date])=selected_year) * (MONTH(tracking[Effective Date])=selected_period))),
            IF(selected_period="Total Year",
                SUM(tracking[Amount] * (tracking[Type]=type) * (tracking[Category]=item) * (YEAR(tracking[Effective Date])=selected_year)),
                SUM(tracking[Amount] * (tracking[Type]=type) * (tracking[Category]=item) * (YEAR(tracking[Effective Date])=selected_year) * (MONTH(tracking[Effective Date])=selected_period)))))</f>
        <v/>
      </c>
      <c r="L53" s="66">
        <f t="array" ref="L53"> IF(OR(is_header, is_empty), "",
         INDEX('Budget Planning'!$E:$EM, row_id,
                  MATCH(IF(selected_period="Total Year", selected_year, DATE(selected_year, selected_period, 1)), 'Budget Planning'!$E$9:$EM$9, 0)))</f>
        <v/>
      </c>
      <c r="M53" s="33">
        <f t="array" ref="M53">IF(is_cat,
        IF(header_row_id=income_header_row, MATCH(income_min_row, $C:$C, 0),
                 IF(header_row_id=expenses_header_row, MATCH(expenses_min_row, $C:$C, 0),
                          IF(header_row_id=savings_header_row, MATCH(savings_min_row, $C:$C, 0), ""))), "")</f>
        <v/>
      </c>
      <c r="N53" s="36">
        <f t="array" ref="N53">IF(is_cat,
        IF(header_row_id=income_header_row, MATCH(income_max_row, $C:$C, 0),
                 IF(header_row_id=expenses_header_row, MATCH(expenses_max_row, $C:$C, 0),
                          IF(header_row_id=savings_header_row, MATCH(savings_max_row, $C:$C, 0), ""))), "")</f>
        <v/>
      </c>
      <c r="O53" s="33">
        <f> IF(is_cat, ADDRESS(sort_min_row, COLUMN(tracked)) &amp; ":" &amp; ADDRESS(sort_max_row, COLUMN(tracked)), "")</f>
        <v/>
      </c>
      <c r="P53">
        <f> IF(is_cat, RANK(tracked, INDIRECT(tracked_range), 0), "")</f>
        <v/>
      </c>
      <c r="Q53">
        <f> IF(is_cat, ADDRESS(sort_min_row, COLUMN(budget)) &amp; ":" &amp; ADDRESS(sort_max_row, COLUMN(budget)), "")</f>
        <v/>
      </c>
      <c r="R53" s="36">
        <f> IF(is_cat, RANK(budget, INDIRECT(budget_range), 0), "")</f>
        <v/>
      </c>
      <c r="S53" s="33">
        <f> IF(is_cat, _xlfn.NUMBERVALUE(tracked_rank &amp; budget_rank), "")</f>
        <v/>
      </c>
      <c r="T53">
        <f> IF(is_cat, ADDRESS(sort_min_row, COLUMN(comb_rank)) &amp; ":" &amp; ADDRESS(sort_max_row, COLUMN(comb_rank)), "")</f>
        <v/>
      </c>
      <c r="U53">
        <f>IF(is_cat, RANK(comb_rank, INDIRECT(comb_rank_range), 1), "")</f>
        <v/>
      </c>
      <c r="V53">
        <f> IF(is_cat, ADDRESS(sort_min_row, COLUMN(comb_rank_norm)) &amp; ":" &amp; ADDRESS(ROW(), COLUMN(comb_rank_norm)), "")</f>
        <v/>
      </c>
      <c r="W53" s="36">
        <f> IF(is_cat, comb_rank_norm + COUNTIF(INDIRECT(comb_rank_norm_run_range), comb_rank_norm)-1, "")</f>
        <v/>
      </c>
      <c r="X53" s="68">
        <f> IF(is_cat, header_row_id + comb_rank_unique, row_id)</f>
        <v/>
      </c>
      <c r="Y53" s="69">
        <f> IF(is_empty, "", INDEX($J:$J, MATCH(row_id, $X:$X, 0)))</f>
        <v/>
      </c>
      <c r="Z53" s="72">
        <f> IF(is_empty, "", IF(is_header, "Tracked", INDEX($K:$K, MATCH(row_id, $X:$X, 0))))</f>
        <v/>
      </c>
      <c r="AA53" s="72">
        <f> IF(is_empty, "", IF(is_header, "Budget", INDEX($L:$L, MATCH(row_id, $X:$X, 0))))</f>
        <v/>
      </c>
      <c r="AB53" s="71">
        <f> IF(is_empty, "", IF(is_header, "% Compl.", IFERROR(out_tracked / out_budget, "-")))</f>
        <v/>
      </c>
      <c r="AC53" s="72">
        <f> IF(is_empty, "", IF(is_header, "Remaining", IF(out_budget - out_tracked &gt; 0, out_budget - out_tracked, 0)))</f>
        <v/>
      </c>
      <c r="AD53" s="72">
        <f> IF(is_empty, "", IF(is_header, "Excess", IF(out_budget - out_tracked &lt; 0, out_tracked - out_budget, 0)))</f>
        <v/>
      </c>
    </row>
  </sheetData>
  <mergeCells count="9">
    <mergeCell ref="AQ9:AR9"/>
    <mergeCell ref="AN6:AP6"/>
    <mergeCell ref="AF11:AR11"/>
    <mergeCell ref="AQ8:AR8"/>
    <mergeCell ref="Y11:AD11"/>
    <mergeCell ref="B1:H3"/>
    <mergeCell ref="AQ6:AR6"/>
    <mergeCell ref="AQ5:AR5"/>
    <mergeCell ref="AN9:AP9"/>
  </mergeCells>
  <conditionalFormatting sqref="Y13:AD53">
    <cfRule type="expression" priority="1" dxfId="19" stopIfTrue="1">
      <formula> row_id = income_header_row</formula>
    </cfRule>
    <cfRule type="expression" priority="2" dxfId="18" stopIfTrue="1">
      <formula> row_id = expenses_header_row</formula>
    </cfRule>
    <cfRule type="expression" priority="3" dxfId="21" stopIfTrue="1">
      <formula> row_id = savings_header_row</formula>
    </cfRule>
    <cfRule type="expression" priority="4" dxfId="20" stopIfTrue="1">
      <formula> is_total</formula>
    </cfRule>
  </conditionalFormatting>
  <conditionalFormatting sqref="AB13:AB53">
    <cfRule type="dataBar" priority="74">
      <dataBar>
        <cfvo type="num" val="0"/>
        <cfvo type="num" val="1"/>
        <color theme="0" tint="-0.249977111117893"/>
      </dataBar>
    </cfRule>
    <cfRule type="expression" priority="73" dxfId="24" stopIfTrue="1">
      <formula> AND(OR(is_cat, is_total), out_budget &gt; 0, out_percentage_completed &gt;= 1, header_row_id=savings_header_row)</formula>
    </cfRule>
    <cfRule type="expression" priority="72" dxfId="23" stopIfTrue="1">
      <formula> AND(OR(is_cat, is_total), out_budget &gt; 0, out_percentage_completed &gt;= 1, header_row_id=expenses_header_row)</formula>
    </cfRule>
    <cfRule type="expression" priority="71" dxfId="15" stopIfTrue="1">
      <formula> AND(OR(is_cat, is_total), out_budget &gt; 0, out_percentage_completed &gt;= 1, header_row_id=income_header_row)</formula>
    </cfRule>
  </conditionalFormatting>
  <conditionalFormatting sqref="AF41">
    <cfRule type="expression" priority="35" dxfId="21" stopIfTrue="1">
      <formula> row_id = savings_header_row</formula>
    </cfRule>
    <cfRule type="expression" priority="36" dxfId="20" stopIfTrue="1">
      <formula> is_total</formula>
    </cfRule>
    <cfRule type="expression" priority="33" dxfId="19" stopIfTrue="1">
      <formula> row_id = income_header_row</formula>
    </cfRule>
    <cfRule type="expression" priority="34" dxfId="18" stopIfTrue="1">
      <formula> row_id = expenses_header_row</formula>
    </cfRule>
  </conditionalFormatting>
  <conditionalFormatting sqref="AH16">
    <cfRule type="expression" priority="61" dxfId="17">
      <formula> AI16 &lt;&gt; ""</formula>
    </cfRule>
  </conditionalFormatting>
  <conditionalFormatting sqref="AH17">
    <cfRule type="expression" priority="62" dxfId="16">
      <formula> AI17 &lt;&gt; ""</formula>
    </cfRule>
  </conditionalFormatting>
  <conditionalFormatting sqref="AH18">
    <cfRule type="expression" priority="63" dxfId="15">
      <formula> AI18 &lt;&gt; ""</formula>
    </cfRule>
  </conditionalFormatting>
  <conditionalFormatting sqref="AH19">
    <cfRule type="expression" priority="64" dxfId="14">
      <formula> AI19 &lt;&gt; ""</formula>
    </cfRule>
  </conditionalFormatting>
  <conditionalFormatting sqref="AH20">
    <cfRule type="expression" priority="65" dxfId="13">
      <formula> AI20 &lt;&gt; ""</formula>
    </cfRule>
  </conditionalFormatting>
  <conditionalFormatting sqref="AH21">
    <cfRule type="expression" priority="66" dxfId="0" stopIfTrue="1">
      <formula> AI21 &lt;&gt; ""</formula>
    </cfRule>
  </conditionalFormatting>
  <conditionalFormatting sqref="AH30">
    <cfRule type="expression" priority="55" dxfId="11" stopIfTrue="1">
      <formula> AI30 &lt;&gt; ""</formula>
    </cfRule>
  </conditionalFormatting>
  <conditionalFormatting sqref="AH31">
    <cfRule type="expression" priority="56" dxfId="10">
      <formula> AI31 &lt;&gt; ""</formula>
    </cfRule>
  </conditionalFormatting>
  <conditionalFormatting sqref="AH32">
    <cfRule type="expression" priority="57" dxfId="9">
      <formula> AI32 &lt;&gt; ""</formula>
    </cfRule>
  </conditionalFormatting>
  <conditionalFormatting sqref="AH33">
    <cfRule type="expression" priority="58" dxfId="8" stopIfTrue="1">
      <formula> AI33 &lt;&gt; ""</formula>
    </cfRule>
  </conditionalFormatting>
  <conditionalFormatting sqref="AH34">
    <cfRule type="expression" priority="59" dxfId="7" stopIfTrue="1">
      <formula> AI34 &lt;&gt; ""</formula>
    </cfRule>
  </conditionalFormatting>
  <conditionalFormatting sqref="AH35">
    <cfRule type="expression" priority="60" dxfId="0" stopIfTrue="1">
      <formula> AI35 &lt;&gt; ""</formula>
    </cfRule>
  </conditionalFormatting>
  <conditionalFormatting sqref="AO30">
    <cfRule type="expression" priority="49" dxfId="5">
      <formula> AP30 &lt;&gt; ""</formula>
    </cfRule>
  </conditionalFormatting>
  <conditionalFormatting sqref="AO31">
    <cfRule type="expression" priority="50" dxfId="4">
      <formula> AP31 &lt;&gt; ""</formula>
    </cfRule>
  </conditionalFormatting>
  <conditionalFormatting sqref="AO32">
    <cfRule type="expression" priority="51" dxfId="3">
      <formula> AP32 &lt;&gt; ""</formula>
    </cfRule>
  </conditionalFormatting>
  <conditionalFormatting sqref="AO33">
    <cfRule type="expression" priority="52" dxfId="2">
      <formula> AP33 &lt;&gt; ""</formula>
    </cfRule>
  </conditionalFormatting>
  <conditionalFormatting sqref="AO34">
    <cfRule type="expression" priority="53" dxfId="1">
      <formula> AP34 &lt;&gt; ""</formula>
    </cfRule>
  </conditionalFormatting>
  <conditionalFormatting sqref="AO35">
    <cfRule type="expression" priority="54" dxfId="0">
      <formula> AP35 &lt;&gt; ""</formula>
    </cfRule>
  </conditionalFormatting>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tabColor theme="3" tint="0.249977111117893"/>
    <outlinePr summaryBelow="1" summaryRight="1"/>
    <pageSetUpPr/>
  </sheetPr>
  <dimension ref="B1:R102"/>
  <sheetViews>
    <sheetView showGridLines="0" zoomScale="75" zoomScaleNormal="100" workbookViewId="0">
      <selection activeCell="G9" sqref="G9"/>
    </sheetView>
  </sheetViews>
  <sheetFormatPr baseColWidth="10" defaultColWidth="10.83203125" defaultRowHeight="16"/>
  <cols>
    <col width="6.1640625" customWidth="1" min="1" max="1"/>
    <col width="3.83203125" customWidth="1" min="2" max="2"/>
    <col width="2.6640625" customWidth="1" min="3" max="3"/>
    <col width="28.83203125" customWidth="1" min="4" max="4"/>
    <col width="33" customWidth="1" min="5" max="5"/>
    <col width="10.6640625" customWidth="1" min="6" max="6"/>
    <col width="10.83203125" customWidth="1" min="7" max="7"/>
    <col width="28.83203125" customWidth="1" min="8" max="8"/>
    <col width="33" customWidth="1" min="9" max="9"/>
    <col width="10.5" customWidth="1" min="10" max="10"/>
    <col width="10.83203125" customWidth="1" min="11" max="11"/>
    <col width="28.83203125" customWidth="1" min="12" max="12"/>
    <col width="26" customWidth="1" min="13" max="13"/>
    <col width="15" customWidth="1" min="14" max="14"/>
    <col width="14.1640625" customWidth="1" min="15" max="15"/>
    <col width="26" customWidth="1" min="16" max="16"/>
    <col width="15" customWidth="1" min="17" max="17"/>
    <col width="14.1640625" customWidth="1" min="18" max="18"/>
  </cols>
  <sheetData>
    <row r="1" customFormat="1" s="44">
      <c r="B1" s="132" t="inlineStr">
        <is>
          <t>Calculations</t>
        </is>
      </c>
    </row>
    <row r="2" customFormat="1" s="44"/>
    <row r="3" customFormat="1" s="44"/>
    <row r="6">
      <c r="C6" s="133" t="inlineStr">
        <is>
          <t>Worksheet:Budget Tracking</t>
        </is>
      </c>
    </row>
    <row r="8">
      <c r="D8" s="46" t="inlineStr">
        <is>
          <t>Today:</t>
        </is>
      </c>
      <c r="E8" s="48">
        <f t="array" ref="E8">current_date</f>
        <v/>
      </c>
      <c r="G8" s="45" t="n"/>
    </row>
    <row r="9">
      <c r="D9" s="46" t="inlineStr">
        <is>
          <t>Last Record:</t>
        </is>
      </c>
      <c r="E9" s="49">
        <f> MAX(tracking[Date])</f>
        <v/>
      </c>
    </row>
    <row r="10">
      <c r="D10" s="46" t="inlineStr">
        <is>
          <t>Delta Last Record:</t>
        </is>
      </c>
      <c r="E10">
        <f> IF(E9=0, "", "(" &amp; _xlfn.DAYS(E8,E9) &amp; " days ago)")</f>
        <v/>
      </c>
    </row>
    <row r="11">
      <c r="D11" s="46" t="inlineStr">
        <is>
          <t># Records</t>
        </is>
      </c>
      <c r="E11">
        <f> COUNT(tracking[Date])</f>
        <v/>
      </c>
    </row>
    <row r="12">
      <c r="D12" s="46" t="inlineStr">
        <is>
          <t># Records in the current year</t>
        </is>
      </c>
      <c r="E12">
        <f t="array" ref="E12"> "(" &amp; SUMPRODUCT(--(YEAR(tracking[Date])=YEAR(current_date))) &amp; " this year)"</f>
        <v/>
      </c>
    </row>
    <row r="13">
      <c r="D13" s="46" t="inlineStr">
        <is>
          <t>Tracking Balance:</t>
        </is>
      </c>
      <c r="E13" s="47">
        <f>_xlfn.IFNA(INDEX(tracking[Balance], MATCH(E9, tracking[Date],0)), "-")</f>
        <v/>
      </c>
    </row>
    <row r="14">
      <c r="D14" s="46" t="inlineStr">
        <is>
          <t>Balance Analysis Text:</t>
        </is>
      </c>
      <c r="E14">
        <f> IF(E13&gt;=0, "of tracked income left to be allocated", "allocated not covered by income")</f>
        <v/>
      </c>
    </row>
    <row r="15">
      <c r="D15" s="46" t="n"/>
    </row>
    <row r="16">
      <c r="D16" s="46" t="n"/>
    </row>
    <row r="17">
      <c r="C17" s="133" t="inlineStr">
        <is>
          <t>Worksheet: Budget Dashboard</t>
        </is>
      </c>
    </row>
    <row r="19">
      <c r="D19" s="46" t="inlineStr">
        <is>
          <t>Selected Year:</t>
        </is>
      </c>
      <c r="E19">
        <f t="array" ref="E19">IF('Budget Dashboard'!$AQ$6="Current Year", YEAR(current_date), 'Budget Dashboard'!$AQ$6)</f>
        <v/>
      </c>
    </row>
    <row r="20">
      <c r="D20" s="55" t="inlineStr">
        <is>
          <t>Selected Period:</t>
        </is>
      </c>
      <c r="E20" s="97">
        <f t="array" ref="E20"> IF('Budget Dashboard'!$AQ$9="Total Year", "Total Year", IF('Budget Dashboard'!$AQ$9="Current Month", MONTH(current_date), MONTH('Budget Dashboard'!$AQ$9)))</f>
        <v/>
      </c>
    </row>
    <row r="21">
      <c r="D21" s="46" t="inlineStr">
        <is>
          <t>Selected Period (Display):</t>
        </is>
      </c>
      <c r="E21" s="56">
        <f> IF(selected_period="Total Year", "Total Year", TEXT(DATE(selected_year, selected_period,1), "mmmm"))</f>
        <v/>
      </c>
    </row>
    <row r="22">
      <c r="D22" s="46" t="inlineStr">
        <is>
          <t>Days in Period:</t>
        </is>
      </c>
      <c r="E22">
        <f>IF(selected_period="Total Year", DATE(selected_year, 12, 31) - DATE(selected_year-1, 12, 31), DAY(EOMONTH(DATE(selected_year, selected_period, 1), 0)))</f>
        <v/>
      </c>
    </row>
    <row r="23">
      <c r="D23" s="46" t="inlineStr">
        <is>
          <t>Days passed in Period:</t>
        </is>
      </c>
      <c r="E23">
        <f t="array" ref="E23">IF(selected_year=YEAR(current_date),
      IF(selected_period="Total Year", current_date=DATE(selected_year-1, 12, 31),
          IF(selected_period=MONTH(current_date), DAY(current_date),
               IF(selected_period&lt;MONTH(current_date), E22, 0))),
     IF(selected_year&lt;YEAR(current_date), E22, 0))</f>
        <v/>
      </c>
    </row>
    <row r="24">
      <c r="D24" s="46" t="inlineStr">
        <is>
          <t>Days passed in Period %:</t>
        </is>
      </c>
      <c r="E24" s="98">
        <f>E23/E22</f>
        <v/>
      </c>
    </row>
    <row r="25">
      <c r="D25" s="46" t="inlineStr">
        <is>
          <t>Period Tracking Balance:</t>
        </is>
      </c>
      <c r="E25" s="99">
        <f> F41 - (J41 + N41)</f>
        <v/>
      </c>
    </row>
    <row r="26">
      <c r="D26" s="46" t="inlineStr">
        <is>
          <t>Balance Analysis Text:</t>
        </is>
      </c>
      <c r="E26">
        <f> IF(E25&gt;=0, "of tracked income left to be allocated", "allocated not covered by income")</f>
        <v/>
      </c>
    </row>
    <row r="27">
      <c r="D27" s="46" t="inlineStr">
        <is>
          <t>Period Savings Rate:</t>
        </is>
      </c>
      <c r="E27" s="98">
        <f> IFERROR(IF(savings_rate_calculation_type="% allocated to Savings", N41/F41, (F41-J41)/F41), "-")</f>
        <v/>
      </c>
    </row>
    <row r="32">
      <c r="D32" s="75" t="inlineStr">
        <is>
          <t>Chart Calculations: Category Distribution Charts</t>
        </is>
      </c>
      <c r="E32" s="74" t="n"/>
      <c r="F32" s="74" t="n"/>
      <c r="G32" s="74" t="n"/>
      <c r="H32" s="74" t="n"/>
      <c r="I32" s="74" t="n"/>
      <c r="J32" s="74" t="n"/>
      <c r="K32" s="74" t="n"/>
      <c r="L32" s="74" t="n"/>
      <c r="M32" s="74" t="n"/>
      <c r="N32" s="74" t="n"/>
    </row>
    <row r="34">
      <c r="D34" s="76" t="inlineStr">
        <is>
          <t>Income</t>
        </is>
      </c>
      <c r="E34" s="76" t="inlineStr">
        <is>
          <t>Category</t>
        </is>
      </c>
      <c r="F34" s="76" t="inlineStr">
        <is>
          <t>Amount</t>
        </is>
      </c>
      <c r="H34" s="76" t="inlineStr">
        <is>
          <t>Expenses</t>
        </is>
      </c>
      <c r="I34" s="76" t="inlineStr">
        <is>
          <t>Category</t>
        </is>
      </c>
      <c r="J34" s="76" t="inlineStr">
        <is>
          <t>Amount</t>
        </is>
      </c>
      <c r="L34" s="76" t="inlineStr">
        <is>
          <t>Savings</t>
        </is>
      </c>
      <c r="M34" s="76" t="inlineStr">
        <is>
          <t>Category</t>
        </is>
      </c>
      <c r="N34" s="76" t="inlineStr">
        <is>
          <t>Amount</t>
        </is>
      </c>
    </row>
    <row r="35">
      <c r="D35" s="77" t="n">
        <v>1</v>
      </c>
      <c r="E35" s="77">
        <f t="array" ref="E35">IF(F35="", "", INDEX('Budget Dashboard'!$J:$J, MATCH(income_header_row + D35, 'Budget Dashboard'!$X:$X, 0)))</f>
        <v/>
      </c>
      <c r="F35" s="94">
        <f t="array" ref="F35"> IF(D35&gt;COUNTA(income[]), "",
        IF(INDEX('Budget Dashboard'!$K:$K, MATCH(income_header_row + D35, 'Budget Dashboard'!$X:$X, 0))=0, "",
                INDEX('Budget Dashboard'!$K:$K, MATCH(income_header_row + D35, 'Budget Dashboard'!$X:$X, 0))))</f>
        <v/>
      </c>
      <c r="H35" s="77" t="n">
        <v>1</v>
      </c>
      <c r="I35" s="77">
        <f t="array" ref="I35">IF(J35="", "", INDEX('Budget Dashboard'!$J:$J, MATCH(expenses_header_row + H35, 'Budget Dashboard'!$X:$X, 0)))</f>
        <v/>
      </c>
      <c r="J35" s="94">
        <f t="array" ref="J35"> IF(H35&gt;COUNTA(expenses[]), "",
        IF(INDEX('Budget Dashboard'!$K:$K, MATCH(expenses_header_row + H35, 'Budget Dashboard'!$X:$X, 0))=0, "",
                INDEX('Budget Dashboard'!$K:$K, MATCH(expenses_header_row + H35, 'Budget Dashboard'!$X:$X, 0))))</f>
        <v/>
      </c>
      <c r="L35" s="77" t="n">
        <v>1</v>
      </c>
      <c r="M35" s="77">
        <f t="array" ref="M35">IF(N35="", "", INDEX('Budget Dashboard'!$J:$J, MATCH(savings_header_row + L35, 'Budget Dashboard'!$X:$X, 0)))</f>
        <v/>
      </c>
      <c r="N35" s="94">
        <f t="array" ref="N35"> IF(L35&gt;COUNTA(savings[]), "",
        IF(INDEX('Budget Dashboard'!$K:$K, MATCH(savings_header_row + L35, 'Budget Dashboard'!$X:$X, 0))=0, "",
                INDEX('Budget Dashboard'!$K:$K, MATCH(savings_header_row + L35, 'Budget Dashboard'!$X:$X, 0))))</f>
        <v/>
      </c>
    </row>
    <row r="36">
      <c r="D36" s="77" t="n">
        <v>2</v>
      </c>
      <c r="E36" s="77">
        <f t="array" ref="E36">IF(F36="", "", INDEX('Budget Dashboard'!$J:$J, MATCH(income_header_row + D36, 'Budget Dashboard'!$X:$X, 0)))</f>
        <v/>
      </c>
      <c r="F36" s="94">
        <f t="array" ref="F36"> IF(D36&gt;COUNTA(income[]), "",
        IF(INDEX('Budget Dashboard'!$K:$K, MATCH(income_header_row + D36, 'Budget Dashboard'!$X:$X, 0))=0, "",
                INDEX('Budget Dashboard'!$K:$K, MATCH(income_header_row + D36, 'Budget Dashboard'!$X:$X, 0))))</f>
        <v/>
      </c>
      <c r="H36" s="77" t="n">
        <v>2</v>
      </c>
      <c r="I36" s="77">
        <f t="array" ref="I36">IF(J36="", "", INDEX('Budget Dashboard'!$J:$J, MATCH(expenses_header_row + H36, 'Budget Dashboard'!$X:$X, 0)))</f>
        <v/>
      </c>
      <c r="J36" s="94">
        <f t="array" ref="J36"> IF(H36&gt;COUNTA(expenses[]), "",
        IF(INDEX('Budget Dashboard'!$K:$K, MATCH(expenses_header_row + H36, 'Budget Dashboard'!$X:$X, 0))=0, "",
                INDEX('Budget Dashboard'!$K:$K, MATCH(expenses_header_row + H36, 'Budget Dashboard'!$X:$X, 0))))</f>
        <v/>
      </c>
      <c r="L36" s="77" t="n">
        <v>2</v>
      </c>
      <c r="M36" s="77">
        <f t="array" ref="M36">IF(N36="", "", INDEX('Budget Dashboard'!$J:$J, MATCH(savings_header_row + L36, 'Budget Dashboard'!$X:$X, 0)))</f>
        <v/>
      </c>
      <c r="N36" s="94">
        <f t="array" ref="N36"> IF(L36&gt;COUNTA(savings[]), "",
        IF(INDEX('Budget Dashboard'!$K:$K, MATCH(savings_header_row + L36, 'Budget Dashboard'!$X:$X, 0))=0, "",
                INDEX('Budget Dashboard'!$K:$K, MATCH(savings_header_row + L36, 'Budget Dashboard'!$X:$X, 0))))</f>
        <v/>
      </c>
    </row>
    <row r="37">
      <c r="D37" s="77" t="n">
        <v>3</v>
      </c>
      <c r="E37" s="77">
        <f t="array" ref="E37">IF(F37="", "", INDEX('Budget Dashboard'!$J:$J, MATCH(income_header_row + D37, 'Budget Dashboard'!$X:$X, 0)))</f>
        <v/>
      </c>
      <c r="F37" s="94">
        <f t="array" ref="F37"> IF(D37&gt;COUNTA(income[]), "",
        IF(INDEX('Budget Dashboard'!$K:$K, MATCH(income_header_row + D37, 'Budget Dashboard'!$X:$X, 0))=0, "",
                INDEX('Budget Dashboard'!$K:$K, MATCH(income_header_row + D37, 'Budget Dashboard'!$X:$X, 0))))</f>
        <v/>
      </c>
      <c r="H37" s="77" t="n">
        <v>3</v>
      </c>
      <c r="I37" s="77">
        <f t="array" ref="I37">IF(J37="", "", INDEX('Budget Dashboard'!$J:$J, MATCH(expenses_header_row + H37, 'Budget Dashboard'!$X:$X, 0)))</f>
        <v/>
      </c>
      <c r="J37" s="94">
        <f t="array" ref="J37"> IF(H37&gt;COUNTA(expenses[]), "",
        IF(INDEX('Budget Dashboard'!$K:$K, MATCH(expenses_header_row + H37, 'Budget Dashboard'!$X:$X, 0))=0, "",
                INDEX('Budget Dashboard'!$K:$K, MATCH(expenses_header_row + H37, 'Budget Dashboard'!$X:$X, 0))))</f>
        <v/>
      </c>
      <c r="L37" s="77" t="n">
        <v>3</v>
      </c>
      <c r="M37" s="77">
        <f t="array" ref="M37">IF(N37="", "", INDEX('Budget Dashboard'!$J:$J, MATCH(savings_header_row + L37, 'Budget Dashboard'!$X:$X, 0)))</f>
        <v/>
      </c>
      <c r="N37" s="94">
        <f t="array" ref="N37"> IF(L37&gt;COUNTA(savings[]), "",
        IF(INDEX('Budget Dashboard'!$K:$K, MATCH(savings_header_row + L37, 'Budget Dashboard'!$X:$X, 0))=0, "",
                INDEX('Budget Dashboard'!$K:$K, MATCH(savings_header_row + L37, 'Budget Dashboard'!$X:$X, 0))))</f>
        <v/>
      </c>
    </row>
    <row r="38">
      <c r="D38" s="77" t="n">
        <v>4</v>
      </c>
      <c r="E38" s="77">
        <f t="array" ref="E38">IF(F38="", "", INDEX('Budget Dashboard'!$J:$J, MATCH(income_header_row + D38, 'Budget Dashboard'!$X:$X, 0)))</f>
        <v/>
      </c>
      <c r="F38" s="94">
        <f t="array" ref="F38"> IF(D38&gt;COUNTA(income[]), "",
        IF(INDEX('Budget Dashboard'!$K:$K, MATCH(income_header_row + D38, 'Budget Dashboard'!$X:$X, 0))=0, "",
                INDEX('Budget Dashboard'!$K:$K, MATCH(income_header_row + D38, 'Budget Dashboard'!$X:$X, 0))))</f>
        <v/>
      </c>
      <c r="H38" s="77" t="n">
        <v>4</v>
      </c>
      <c r="I38" s="77">
        <f t="array" ref="I38">IF(J38="", "", INDEX('Budget Dashboard'!$J:$J, MATCH(expenses_header_row + H38, 'Budget Dashboard'!$X:$X, 0)))</f>
        <v/>
      </c>
      <c r="J38" s="94">
        <f t="array" ref="J38"> IF(H38&gt;COUNTA(expenses[]), "",
        IF(INDEX('Budget Dashboard'!$K:$K, MATCH(expenses_header_row + H38, 'Budget Dashboard'!$X:$X, 0))=0, "",
                INDEX('Budget Dashboard'!$K:$K, MATCH(expenses_header_row + H38, 'Budget Dashboard'!$X:$X, 0))))</f>
        <v/>
      </c>
      <c r="L38" s="77" t="n">
        <v>4</v>
      </c>
      <c r="M38" s="77">
        <f t="array" ref="M38">IF(N38="", "", INDEX('Budget Dashboard'!$J:$J, MATCH(savings_header_row + L38, 'Budget Dashboard'!$X:$X, 0)))</f>
        <v/>
      </c>
      <c r="N38" s="94">
        <f t="array" ref="N38"> IF(L38&gt;COUNTA(savings[]), "",
        IF(INDEX('Budget Dashboard'!$K:$K, MATCH(savings_header_row + L38, 'Budget Dashboard'!$X:$X, 0))=0, "",
                INDEX('Budget Dashboard'!$K:$K, MATCH(savings_header_row + L38, 'Budget Dashboard'!$X:$X, 0))))</f>
        <v/>
      </c>
    </row>
    <row r="39">
      <c r="D39" s="77" t="n">
        <v>5</v>
      </c>
      <c r="E39" s="77">
        <f t="array" ref="E39">IF(F39="", "", INDEX('Budget Dashboard'!$J:$J, MATCH(income_header_row + D39, 'Budget Dashboard'!$X:$X, 0)))</f>
        <v/>
      </c>
      <c r="F39" s="94">
        <f t="array" ref="F39"> IF(D39&gt;COUNTA(income[]), "",
        IF(INDEX('Budget Dashboard'!$K:$K, MATCH(income_header_row + D39, 'Budget Dashboard'!$X:$X, 0))=0, "",
                INDEX('Budget Dashboard'!$K:$K, MATCH(income_header_row + D39, 'Budget Dashboard'!$X:$X, 0))))</f>
        <v/>
      </c>
      <c r="H39" s="77" t="n">
        <v>5</v>
      </c>
      <c r="I39" s="77">
        <f t="array" ref="I39">IF(J39="", "", INDEX('Budget Dashboard'!$J:$J, MATCH(expenses_header_row + H39, 'Budget Dashboard'!$X:$X, 0)))</f>
        <v/>
      </c>
      <c r="J39" s="94">
        <f t="array" ref="J39"> IF(H39&gt;COUNTA(expenses[]), "",
        IF(INDEX('Budget Dashboard'!$K:$K, MATCH(expenses_header_row + H39, 'Budget Dashboard'!$X:$X, 0))=0, "",
                INDEX('Budget Dashboard'!$K:$K, MATCH(expenses_header_row + H39, 'Budget Dashboard'!$X:$X, 0))))</f>
        <v/>
      </c>
      <c r="L39" s="77" t="n">
        <v>5</v>
      </c>
      <c r="M39" s="77">
        <f t="array" ref="M39">IF(N39="", "", INDEX('Budget Dashboard'!$J:$J, MATCH(savings_header_row + L39, 'Budget Dashboard'!$X:$X, 0)))</f>
        <v/>
      </c>
      <c r="N39" s="94">
        <f t="array" ref="N39"> IF(L39&gt;COUNTA(savings[]), "",
        IF(INDEX('Budget Dashboard'!$K:$K, MATCH(savings_header_row + L39, 'Budget Dashboard'!$X:$X, 0))=0, "",
                INDEX('Budget Dashboard'!$K:$K, MATCH(savings_header_row + L39, 'Budget Dashboard'!$X:$X, 0))))</f>
        <v/>
      </c>
    </row>
    <row r="40" ht="17" customHeight="1" thickBot="1">
      <c r="D40" s="78" t="n">
        <v>6</v>
      </c>
      <c r="E40" s="78">
        <f> IF(F40="", "", "Other")</f>
        <v/>
      </c>
      <c r="F40" s="81">
        <f> IF(F41-SUM(F35:F39)=0, "", F41-SUM(F35:F39))</f>
        <v/>
      </c>
      <c r="H40" s="78" t="n">
        <v>6</v>
      </c>
      <c r="I40" s="78">
        <f> IF(J40="", "", "Other")</f>
        <v/>
      </c>
      <c r="J40" s="81">
        <f> IF(J41-SUM(J35:J39)=0, "", J41-SUM(J35:J39))</f>
        <v/>
      </c>
      <c r="L40" s="78" t="n">
        <v>6</v>
      </c>
      <c r="M40" s="78">
        <f> IF(N40="", "", "Other")</f>
        <v/>
      </c>
      <c r="N40" s="81">
        <f> IF(N41-SUM(N35:N39)=0, "", N41-SUM(N35:N39))</f>
        <v/>
      </c>
    </row>
    <row r="41" ht="17" customHeight="1" thickTop="1">
      <c r="D41" s="77" t="n"/>
      <c r="E41" s="79" t="inlineStr">
        <is>
          <t>Total</t>
        </is>
      </c>
      <c r="F41" s="82">
        <f t="array" ref="F41"> INDEX('Budget Dashboard'!$K:$K, MATCH(income_total_row, 'Budget Dashboard'!$X:$X, 0))</f>
        <v/>
      </c>
      <c r="H41" s="77" t="n"/>
      <c r="I41" s="79" t="inlineStr">
        <is>
          <t>Total</t>
        </is>
      </c>
      <c r="J41" s="82">
        <f t="array" ref="J41"> INDEX('Budget Dashboard'!$K:$K, MATCH(expenses_total_row, 'Budget Dashboard'!$X:$X, 0))</f>
        <v/>
      </c>
      <c r="L41" s="77" t="n"/>
      <c r="M41" s="79" t="inlineStr">
        <is>
          <t>Total</t>
        </is>
      </c>
      <c r="N41" s="82">
        <f t="array" ref="N41"> INDEX('Budget Dashboard'!$K:$K, MATCH(savings_total_row, 'Budget Dashboard'!$X:$X, 0))</f>
        <v/>
      </c>
    </row>
    <row r="47">
      <c r="D47" s="75" t="inlineStr">
        <is>
          <t>Chart Calculations: Tracked (vs. Budget) Chart</t>
        </is>
      </c>
      <c r="E47" s="74" t="n"/>
      <c r="F47" s="74" t="n"/>
      <c r="G47" s="74" t="n"/>
      <c r="H47" s="74" t="n"/>
      <c r="I47" s="74" t="n"/>
      <c r="J47" s="74" t="n"/>
      <c r="K47" s="74" t="n"/>
      <c r="L47" s="74" t="n"/>
      <c r="M47" s="74" t="n"/>
      <c r="N47" s="74" t="n"/>
    </row>
    <row r="49">
      <c r="D49" s="95" t="inlineStr">
        <is>
          <t>Show Income:</t>
        </is>
      </c>
      <c r="E49" t="b">
        <v>1</v>
      </c>
    </row>
    <row r="50">
      <c r="D50" s="95" t="inlineStr">
        <is>
          <t>Show Expenses:</t>
        </is>
      </c>
      <c r="E50" t="b">
        <v>1</v>
      </c>
    </row>
    <row r="51">
      <c r="D51" s="95" t="inlineStr">
        <is>
          <t>Show Savings:</t>
        </is>
      </c>
      <c r="E51" t="b">
        <v>1</v>
      </c>
    </row>
    <row r="52">
      <c r="D52" s="95" t="inlineStr">
        <is>
          <t>Show Remaining Budget:</t>
        </is>
      </c>
      <c r="E52" t="b">
        <v>1</v>
      </c>
      <c r="M52" s="91" t="n"/>
      <c r="N52" s="91" t="n"/>
      <c r="O52" s="91" t="n"/>
    </row>
    <row r="53">
      <c r="M53" s="127" t="inlineStr">
        <is>
          <t>Period in Focus</t>
        </is>
      </c>
      <c r="P53" s="129" t="inlineStr">
        <is>
          <t>Period Not In Focus</t>
        </is>
      </c>
    </row>
    <row r="54" customFormat="1" s="79">
      <c r="D54" s="76" t="inlineStr">
        <is>
          <t>Month</t>
        </is>
      </c>
      <c r="E54" s="76" t="inlineStr">
        <is>
          <t>Type</t>
        </is>
      </c>
      <c r="F54" s="76" t="inlineStr">
        <is>
          <t>Month Num</t>
        </is>
      </c>
      <c r="G54" s="76" t="inlineStr">
        <is>
          <t>In Focus</t>
        </is>
      </c>
      <c r="H54" s="76" t="inlineStr">
        <is>
          <t>Show Type</t>
        </is>
      </c>
      <c r="I54" s="76" t="inlineStr">
        <is>
          <t>Show Rem. Budget</t>
        </is>
      </c>
      <c r="J54" s="76" t="inlineStr">
        <is>
          <t>Tracked</t>
        </is>
      </c>
      <c r="K54" s="76" t="inlineStr">
        <is>
          <t>Budget</t>
        </is>
      </c>
      <c r="L54" s="76" t="inlineStr">
        <is>
          <t>Delta</t>
        </is>
      </c>
      <c r="M54" s="76" t="inlineStr">
        <is>
          <t>In Budget</t>
        </is>
      </c>
      <c r="N54" s="76" t="inlineStr">
        <is>
          <t>Remaining</t>
        </is>
      </c>
      <c r="O54" s="76" t="inlineStr">
        <is>
          <t>Excess</t>
        </is>
      </c>
      <c r="P54" s="76" t="inlineStr">
        <is>
          <t>In Budget</t>
        </is>
      </c>
      <c r="Q54" s="76" t="inlineStr">
        <is>
          <t>Remaining</t>
        </is>
      </c>
      <c r="R54" s="76" t="inlineStr">
        <is>
          <t>Excess</t>
        </is>
      </c>
    </row>
    <row r="55">
      <c r="D55" s="131">
        <f> DATE(selected_year, 1,1)</f>
        <v/>
      </c>
      <c r="E55" s="77" t="inlineStr">
        <is>
          <t>Income</t>
        </is>
      </c>
      <c r="F55" s="77">
        <f> MONTH(D55)</f>
        <v/>
      </c>
      <c r="G55" s="77">
        <f> IF(selected_period="Total Year", 1, IF(selected_period=cc_month_number,1,0))</f>
        <v/>
      </c>
      <c r="H55" s="77">
        <f> 1*$E$49</f>
        <v/>
      </c>
      <c r="I55" s="77">
        <f> 1*$E$52</f>
        <v/>
      </c>
      <c r="J55" s="94">
        <f t="array" ref="J55"> SUM(tracking[Amount] * (tracking[Type]=cc_type) * (YEAR(tracking[Effective Date])=selected_year) * (MONTH(tracking[Effective Date])=cc_month_number))</f>
        <v/>
      </c>
      <c r="K55" s="94">
        <f t="array" ref="K55"> INDEX('Budget Planning'!$E:$EM, income_total_row, MATCH(DATE(selected_year, cc_month_number, 1), 'Budget Planning'!$E$9:$EM$9, 0))</f>
        <v/>
      </c>
      <c r="L55" s="94">
        <f> cc_budget - cc_tracked</f>
        <v/>
      </c>
      <c r="M55" s="94">
        <f> cc_in_focus * cc_show_type * MIN(cc_tracked, cc_budget)</f>
        <v/>
      </c>
      <c r="N55" s="94">
        <f> cc_in_focus * cc_show_type * cc_show_rem_budget * IF(cc_delta&gt;0, cc_delta, 0)</f>
        <v/>
      </c>
      <c r="O55" s="94">
        <f> cc_in_focus * cc_show_type * IF(cc_delta&lt;0, ABS(cc_delta),0)</f>
        <v/>
      </c>
      <c r="P55" s="94">
        <f> NOT(cc_in_focus) * cc_show_type * MIN(cc_tracked, cc_budget)</f>
        <v/>
      </c>
      <c r="Q55" s="94">
        <f> NOT(cc_in_focus) * cc_show_type * cc_show_rem_budget * IF(cc_delta&gt;0, cc_delta, 0)</f>
        <v/>
      </c>
      <c r="R55" s="94">
        <f> NOT(cc_in_focus) * cc_show_type * IF(cc_delta&lt;0, ABS(cc_delta),0)</f>
        <v/>
      </c>
    </row>
    <row r="56">
      <c r="E56" s="77" t="inlineStr">
        <is>
          <t>Expenses</t>
        </is>
      </c>
      <c r="F56" s="77">
        <f> MONTH(D55)</f>
        <v/>
      </c>
      <c r="G56" s="77">
        <f> IF(selected_period="Total Year", 1, IF(selected_period=cc_month_number,1,0))</f>
        <v/>
      </c>
      <c r="H56" s="77">
        <f> 1*$E$50</f>
        <v/>
      </c>
      <c r="I56" s="77">
        <f> 1*$E$52</f>
        <v/>
      </c>
      <c r="J56" s="94">
        <f t="array" ref="J56"> SUM(tracking[Amount] * (tracking[Type]=cc_type) * (YEAR(tracking[Effective Date])=selected_year) * (MONTH(tracking[Effective Date])=cc_month_number))</f>
        <v/>
      </c>
      <c r="K56" s="94">
        <f t="array" ref="K56"> INDEX('Budget Planning'!$E:$EM, expenses_total_row, MATCH(DATE(selected_year, cc_month_number, 1), 'Budget Planning'!$E$9:$EM$9, 0))</f>
        <v/>
      </c>
      <c r="L56" s="94">
        <f> cc_budget - cc_tracked</f>
        <v/>
      </c>
      <c r="M56" s="94">
        <f> cc_in_focus * cc_show_type * MIN(cc_tracked, cc_budget)</f>
        <v/>
      </c>
      <c r="N56" s="94">
        <f> cc_in_focus * cc_show_type * cc_show_rem_budget * IF(cc_delta&gt;0, cc_delta, 0)</f>
        <v/>
      </c>
      <c r="O56" s="94">
        <f> cc_in_focus * cc_show_type * IF(cc_delta&lt;0, ABS(cc_delta),0)</f>
        <v/>
      </c>
      <c r="P56" s="94">
        <f> NOT(cc_in_focus) * cc_show_type * MIN(cc_tracked, cc_budget)</f>
        <v/>
      </c>
      <c r="Q56" s="94">
        <f> NOT(cc_in_focus) * cc_show_type * cc_show_rem_budget * IF(cc_delta&gt;0, cc_delta, 0)</f>
        <v/>
      </c>
      <c r="R56" s="94">
        <f> NOT(cc_in_focus) * cc_show_type * IF(cc_delta&lt;0, ABS(cc_delta),0)</f>
        <v/>
      </c>
    </row>
    <row r="57">
      <c r="E57" s="77" t="inlineStr">
        <is>
          <t>Savings</t>
        </is>
      </c>
      <c r="F57" s="77">
        <f> MONTH(D55)</f>
        <v/>
      </c>
      <c r="G57" s="77">
        <f> IF(selected_period="Total Year", 1, IF(selected_period=cc_month_number,1,0))</f>
        <v/>
      </c>
      <c r="H57" s="77">
        <f> 1*$E$51</f>
        <v/>
      </c>
      <c r="I57" s="77">
        <f> 1*$E$52</f>
        <v/>
      </c>
      <c r="J57" s="94">
        <f t="array" ref="J57"> SUM(tracking[Amount] * (tracking[Type]=cc_type) * (YEAR(tracking[Effective Date])=selected_year) * (MONTH(tracking[Effective Date])=cc_month_number))</f>
        <v/>
      </c>
      <c r="K57" s="94">
        <f t="array" ref="K57"> INDEX('Budget Planning'!$E:$EM, savings_total_row, MATCH(DATE(selected_year, cc_month_number, 1), 'Budget Planning'!$E$9:$EM$9, 0))</f>
        <v/>
      </c>
      <c r="L57" s="94">
        <f> cc_budget - cc_tracked</f>
        <v/>
      </c>
      <c r="M57" s="94">
        <f> cc_in_focus * cc_show_type * MIN(cc_tracked, cc_budget)</f>
        <v/>
      </c>
      <c r="N57" s="94">
        <f> cc_in_focus * cc_show_type * cc_show_rem_budget * IF(cc_delta&gt;0, cc_delta, 0)</f>
        <v/>
      </c>
      <c r="O57" s="94">
        <f> cc_in_focus * cc_show_type * IF(cc_delta&lt;0, ABS(cc_delta),0)</f>
        <v/>
      </c>
      <c r="P57" s="94">
        <f> NOT(cc_in_focus) * cc_show_type * MIN(cc_tracked, cc_budget)</f>
        <v/>
      </c>
      <c r="Q57" s="94">
        <f> NOT(cc_in_focus) * cc_show_type * cc_show_rem_budget * IF(cc_delta&gt;0, cc_delta, 0)</f>
        <v/>
      </c>
      <c r="R57" s="94">
        <f> NOT(cc_in_focus) * cc_show_type * IF(cc_delta&lt;0, ABS(cc_delta),0)</f>
        <v/>
      </c>
    </row>
    <row r="58">
      <c r="D58" s="137" t="n"/>
      <c r="E58" s="93" t="n"/>
      <c r="F58" s="93" t="n"/>
      <c r="G58" s="93" t="n"/>
      <c r="H58" s="93" t="n"/>
      <c r="I58" s="93" t="n"/>
      <c r="J58" s="96" t="n"/>
      <c r="K58" s="96" t="n"/>
      <c r="L58" s="96" t="n"/>
      <c r="M58" s="93" t="n"/>
      <c r="N58" s="93" t="n"/>
      <c r="O58" s="93" t="n"/>
      <c r="P58" s="93" t="n"/>
      <c r="Q58" s="93" t="n"/>
      <c r="R58" s="93" t="n"/>
    </row>
    <row r="59">
      <c r="D59" s="138">
        <f> DATE(selected_year, 2,1)</f>
        <v/>
      </c>
      <c r="E59" s="92" t="inlineStr">
        <is>
          <t>Income</t>
        </is>
      </c>
      <c r="F59" s="77">
        <f> MONTH(D59)</f>
        <v/>
      </c>
      <c r="G59" s="77">
        <f> IF(selected_period="Total Year", 1, IF(selected_period=cc_month_number,1,0))</f>
        <v/>
      </c>
      <c r="H59" s="77">
        <f> 1*$E$49</f>
        <v/>
      </c>
      <c r="I59" s="77">
        <f> 1*$E$52</f>
        <v/>
      </c>
      <c r="J59" s="94">
        <f t="array" ref="J59"> SUM(tracking[Amount] * (tracking[Type]=cc_type) * (YEAR(tracking[Effective Date])=selected_year) * (MONTH(tracking[Effective Date])=cc_month_number))</f>
        <v/>
      </c>
      <c r="K59" s="94">
        <f t="array" ref="K59"> INDEX('Budget Planning'!$E:$EM, income_total_row, MATCH(DATE(selected_year, cc_month_number, 1), 'Budget Planning'!$E$9:$EM$9, 0))</f>
        <v/>
      </c>
      <c r="L59" s="94">
        <f> cc_budget - cc_tracked</f>
        <v/>
      </c>
      <c r="M59" s="94">
        <f> cc_in_focus * cc_show_type * MIN(cc_tracked, cc_budget)</f>
        <v/>
      </c>
      <c r="N59" s="94">
        <f> cc_in_focus * cc_show_type * cc_show_rem_budget * IF(cc_delta&gt;0, cc_delta, 0)</f>
        <v/>
      </c>
      <c r="O59" s="94">
        <f> cc_in_focus * cc_show_type * IF(cc_delta&lt;0, ABS(cc_delta),0)</f>
        <v/>
      </c>
      <c r="P59" s="94">
        <f> NOT(cc_in_focus) * cc_show_type * MIN(cc_tracked, cc_budget)</f>
        <v/>
      </c>
      <c r="Q59" s="94">
        <f> NOT(cc_in_focus) * cc_show_type * cc_show_rem_budget * IF(cc_delta&gt;0, cc_delta, 0)</f>
        <v/>
      </c>
      <c r="R59" s="94">
        <f> NOT(cc_in_focus) * cc_show_type * IF(cc_delta&lt;0, ABS(cc_delta),0)</f>
        <v/>
      </c>
    </row>
    <row r="60">
      <c r="E60" s="77" t="inlineStr">
        <is>
          <t>Expenses</t>
        </is>
      </c>
      <c r="F60" s="77">
        <f> MONTH(D59)</f>
        <v/>
      </c>
      <c r="G60" s="77">
        <f> IF(selected_period="Total Year", 1, IF(selected_period=cc_month_number,1,0))</f>
        <v/>
      </c>
      <c r="H60" s="77">
        <f> 1*$E$50</f>
        <v/>
      </c>
      <c r="I60" s="77">
        <f> 1*$E$52</f>
        <v/>
      </c>
      <c r="J60" s="94">
        <f t="array" ref="J60"> SUM(tracking[Amount] * (tracking[Type]=cc_type) * (YEAR(tracking[Effective Date])=selected_year) * (MONTH(tracking[Effective Date])=cc_month_number))</f>
        <v/>
      </c>
      <c r="K60" s="94">
        <f t="array" ref="K60"> INDEX('Budget Planning'!$E:$EM, expenses_total_row, MATCH(DATE(selected_year, cc_month_number, 1), 'Budget Planning'!$E$9:$EM$9, 0))</f>
        <v/>
      </c>
      <c r="L60" s="94">
        <f> cc_budget - cc_tracked</f>
        <v/>
      </c>
      <c r="M60" s="94">
        <f> cc_in_focus * cc_show_type * MIN(cc_tracked, cc_budget)</f>
        <v/>
      </c>
      <c r="N60" s="94">
        <f> cc_in_focus * cc_show_type * cc_show_rem_budget * IF(cc_delta&gt;0, cc_delta, 0)</f>
        <v/>
      </c>
      <c r="O60" s="94">
        <f> cc_in_focus * cc_show_type * IF(cc_delta&lt;0, ABS(cc_delta),0)</f>
        <v/>
      </c>
      <c r="P60" s="94">
        <f> NOT(cc_in_focus) * cc_show_type * MIN(cc_tracked, cc_budget)</f>
        <v/>
      </c>
      <c r="Q60" s="94">
        <f> NOT(cc_in_focus) * cc_show_type * cc_show_rem_budget * IF(cc_delta&gt;0, cc_delta, 0)</f>
        <v/>
      </c>
      <c r="R60" s="94">
        <f> NOT(cc_in_focus) * cc_show_type * IF(cc_delta&lt;0, ABS(cc_delta),0)</f>
        <v/>
      </c>
    </row>
    <row r="61">
      <c r="E61" s="77" t="inlineStr">
        <is>
          <t>Savings</t>
        </is>
      </c>
      <c r="F61" s="77">
        <f> MONTH(D59)</f>
        <v/>
      </c>
      <c r="G61" s="77">
        <f> IF(selected_period="Total Year", 1, IF(selected_period=cc_month_number,1,0))</f>
        <v/>
      </c>
      <c r="H61" s="77">
        <f> 1*$E$51</f>
        <v/>
      </c>
      <c r="I61" s="77">
        <f> 1*$E$52</f>
        <v/>
      </c>
      <c r="J61" s="94">
        <f t="array" ref="J61"> SUM(tracking[Amount] * (tracking[Type]=cc_type) * (YEAR(tracking[Effective Date])=selected_year) * (MONTH(tracking[Effective Date])=cc_month_number))</f>
        <v/>
      </c>
      <c r="K61" s="94">
        <f t="array" ref="K61"> INDEX('Budget Planning'!$E:$EM, savings_total_row, MATCH(DATE(selected_year, cc_month_number, 1), 'Budget Planning'!$E$9:$EM$9, 0))</f>
        <v/>
      </c>
      <c r="L61" s="94">
        <f> cc_budget - cc_tracked</f>
        <v/>
      </c>
      <c r="M61" s="94">
        <f> cc_in_focus * cc_show_type * MIN(cc_tracked, cc_budget)</f>
        <v/>
      </c>
      <c r="N61" s="94">
        <f> cc_in_focus * cc_show_type * cc_show_rem_budget * IF(cc_delta&gt;0, cc_delta, 0)</f>
        <v/>
      </c>
      <c r="O61" s="94">
        <f> cc_in_focus * cc_show_type * IF(cc_delta&lt;0, ABS(cc_delta),0)</f>
        <v/>
      </c>
      <c r="P61" s="94">
        <f> NOT(cc_in_focus) * cc_show_type * MIN(cc_tracked, cc_budget)</f>
        <v/>
      </c>
      <c r="Q61" s="94">
        <f> NOT(cc_in_focus) * cc_show_type * cc_show_rem_budget * IF(cc_delta&gt;0, cc_delta, 0)</f>
        <v/>
      </c>
      <c r="R61" s="94">
        <f> NOT(cc_in_focus) * cc_show_type * IF(cc_delta&lt;0, ABS(cc_delta),0)</f>
        <v/>
      </c>
    </row>
    <row r="62">
      <c r="D62" s="137" t="n"/>
      <c r="E62" s="93" t="n"/>
      <c r="F62" s="93" t="n"/>
      <c r="G62" s="93" t="n"/>
      <c r="H62" s="93" t="n"/>
      <c r="I62" s="93" t="n"/>
      <c r="J62" s="96" t="n"/>
      <c r="K62" s="96" t="n"/>
      <c r="L62" s="96" t="n"/>
      <c r="M62" s="93" t="n"/>
      <c r="N62" s="93" t="n"/>
      <c r="O62" s="93" t="n"/>
      <c r="P62" s="93" t="n"/>
      <c r="Q62" s="93" t="n"/>
      <c r="R62" s="93" t="n"/>
    </row>
    <row r="63">
      <c r="D63" s="138">
        <f> DATE(selected_year, 3,1)</f>
        <v/>
      </c>
      <c r="E63" s="92" t="inlineStr">
        <is>
          <t>Income</t>
        </is>
      </c>
      <c r="F63" s="77">
        <f> MONTH(D63)</f>
        <v/>
      </c>
      <c r="G63" s="77">
        <f> IF(selected_period="Total Year", 1, IF(selected_period=cc_month_number,1,0))</f>
        <v/>
      </c>
      <c r="H63" s="77">
        <f> 1*$E$49</f>
        <v/>
      </c>
      <c r="I63" s="77">
        <f> 1*$E$52</f>
        <v/>
      </c>
      <c r="J63" s="94">
        <f t="array" ref="J63"> SUM(tracking[Amount] * (tracking[Type]=cc_type) * (YEAR(tracking[Effective Date])=selected_year) * (MONTH(tracking[Effective Date])=cc_month_number))</f>
        <v/>
      </c>
      <c r="K63" s="94">
        <f t="array" ref="K63"> INDEX('Budget Planning'!$E:$EM, income_total_row, MATCH(DATE(selected_year, cc_month_number, 1), 'Budget Planning'!$E$9:$EM$9, 0))</f>
        <v/>
      </c>
      <c r="L63" s="94">
        <f> cc_budget - cc_tracked</f>
        <v/>
      </c>
      <c r="M63" s="94">
        <f> cc_in_focus * cc_show_type * MIN(cc_tracked, cc_budget)</f>
        <v/>
      </c>
      <c r="N63" s="94">
        <f> cc_in_focus * cc_show_type * cc_show_rem_budget * IF(cc_delta&gt;0, cc_delta, 0)</f>
        <v/>
      </c>
      <c r="O63" s="94">
        <f> cc_in_focus * cc_show_type * IF(cc_delta&lt;0, ABS(cc_delta),0)</f>
        <v/>
      </c>
      <c r="P63" s="94">
        <f> NOT(cc_in_focus) * cc_show_type * MIN(cc_tracked, cc_budget)</f>
        <v/>
      </c>
      <c r="Q63" s="94">
        <f> NOT(cc_in_focus) * cc_show_type * cc_show_rem_budget * IF(cc_delta&gt;0, cc_delta, 0)</f>
        <v/>
      </c>
      <c r="R63" s="94">
        <f> NOT(cc_in_focus) * cc_show_type * IF(cc_delta&lt;0, ABS(cc_delta),0)</f>
        <v/>
      </c>
    </row>
    <row r="64">
      <c r="E64" s="77" t="inlineStr">
        <is>
          <t>Expenses</t>
        </is>
      </c>
      <c r="F64" s="77">
        <f> MONTH(D63)</f>
        <v/>
      </c>
      <c r="G64" s="77">
        <f> IF(selected_period="Total Year", 1, IF(selected_period=cc_month_number,1,0))</f>
        <v/>
      </c>
      <c r="H64" s="77">
        <f> 1*$E$50</f>
        <v/>
      </c>
      <c r="I64" s="77">
        <f> 1*$E$52</f>
        <v/>
      </c>
      <c r="J64" s="94">
        <f t="array" ref="J64"> SUM(tracking[Amount] * (tracking[Type]=cc_type) * (YEAR(tracking[Effective Date])=selected_year) * (MONTH(tracking[Effective Date])=cc_month_number))</f>
        <v/>
      </c>
      <c r="K64" s="94">
        <f t="array" ref="K64"> INDEX('Budget Planning'!$E:$EM, expenses_total_row, MATCH(DATE(selected_year, cc_month_number, 1), 'Budget Planning'!$E$9:$EM$9, 0))</f>
        <v/>
      </c>
      <c r="L64" s="94">
        <f> cc_budget - cc_tracked</f>
        <v/>
      </c>
      <c r="M64" s="94">
        <f> cc_in_focus * cc_show_type * MIN(cc_tracked, cc_budget)</f>
        <v/>
      </c>
      <c r="N64" s="94">
        <f> cc_in_focus * cc_show_type * cc_show_rem_budget * IF(cc_delta&gt;0, cc_delta, 0)</f>
        <v/>
      </c>
      <c r="O64" s="94">
        <f> cc_in_focus * cc_show_type * IF(cc_delta&lt;0, ABS(cc_delta),0)</f>
        <v/>
      </c>
      <c r="P64" s="94">
        <f> NOT(cc_in_focus) * cc_show_type * MIN(cc_tracked, cc_budget)</f>
        <v/>
      </c>
      <c r="Q64" s="94">
        <f> NOT(cc_in_focus) * cc_show_type * cc_show_rem_budget * IF(cc_delta&gt;0, cc_delta, 0)</f>
        <v/>
      </c>
      <c r="R64" s="94">
        <f> NOT(cc_in_focus) * cc_show_type * IF(cc_delta&lt;0, ABS(cc_delta),0)</f>
        <v/>
      </c>
    </row>
    <row r="65">
      <c r="E65" s="77" t="inlineStr">
        <is>
          <t>Savings</t>
        </is>
      </c>
      <c r="F65" s="77">
        <f> MONTH(D63)</f>
        <v/>
      </c>
      <c r="G65" s="77">
        <f> IF(selected_period="Total Year", 1, IF(selected_period=cc_month_number,1,0))</f>
        <v/>
      </c>
      <c r="H65" s="77">
        <f> 1*$E$51</f>
        <v/>
      </c>
      <c r="I65" s="77">
        <f> 1*$E$52</f>
        <v/>
      </c>
      <c r="J65" s="94">
        <f t="array" ref="J65"> SUM(tracking[Amount] * (tracking[Type]=cc_type) * (YEAR(tracking[Effective Date])=selected_year) * (MONTH(tracking[Effective Date])=cc_month_number))</f>
        <v/>
      </c>
      <c r="K65" s="94">
        <f t="array" ref="K65"> INDEX('Budget Planning'!$E:$EM, savings_total_row, MATCH(DATE(selected_year, cc_month_number, 1), 'Budget Planning'!$E$9:$EM$9, 0))</f>
        <v/>
      </c>
      <c r="L65" s="94">
        <f> cc_budget - cc_tracked</f>
        <v/>
      </c>
      <c r="M65" s="94">
        <f> cc_in_focus * cc_show_type * MIN(cc_tracked, cc_budget)</f>
        <v/>
      </c>
      <c r="N65" s="94">
        <f> cc_in_focus * cc_show_type * cc_show_rem_budget * IF(cc_delta&gt;0, cc_delta, 0)</f>
        <v/>
      </c>
      <c r="O65" s="94">
        <f> cc_in_focus * cc_show_type * IF(cc_delta&lt;0, ABS(cc_delta),0)</f>
        <v/>
      </c>
      <c r="P65" s="94">
        <f> NOT(cc_in_focus) * cc_show_type * MIN(cc_tracked, cc_budget)</f>
        <v/>
      </c>
      <c r="Q65" s="94">
        <f> NOT(cc_in_focus) * cc_show_type * cc_show_rem_budget * IF(cc_delta&gt;0, cc_delta, 0)</f>
        <v/>
      </c>
      <c r="R65" s="94">
        <f> NOT(cc_in_focus) * cc_show_type * IF(cc_delta&lt;0, ABS(cc_delta),0)</f>
        <v/>
      </c>
    </row>
    <row r="66">
      <c r="D66" s="137" t="n"/>
      <c r="E66" s="93" t="n"/>
      <c r="F66" s="93" t="n"/>
      <c r="G66" s="93" t="n"/>
      <c r="H66" s="93" t="n"/>
      <c r="I66" s="93" t="n"/>
      <c r="J66" s="96" t="n"/>
      <c r="K66" s="96" t="n"/>
      <c r="L66" s="96" t="n"/>
      <c r="M66" s="93" t="n"/>
      <c r="N66" s="93" t="n"/>
      <c r="O66" s="93" t="n"/>
      <c r="P66" s="93" t="n"/>
      <c r="Q66" s="93" t="n"/>
      <c r="R66" s="93" t="n"/>
    </row>
    <row r="67">
      <c r="D67" s="138">
        <f> DATE(selected_year, 4,1)</f>
        <v/>
      </c>
      <c r="E67" s="92" t="inlineStr">
        <is>
          <t>Income</t>
        </is>
      </c>
      <c r="F67" s="77">
        <f> MONTH(D67)</f>
        <v/>
      </c>
      <c r="G67" s="77">
        <f> IF(selected_period="Total Year", 1, IF(selected_period=cc_month_number,1,0))</f>
        <v/>
      </c>
      <c r="H67" s="77">
        <f> 1*$E$49</f>
        <v/>
      </c>
      <c r="I67" s="77">
        <f> 1*$E$52</f>
        <v/>
      </c>
      <c r="J67" s="94">
        <f t="array" ref="J67"> SUM(tracking[Amount] * (tracking[Type]=cc_type) * (YEAR(tracking[Effective Date])=selected_year) * (MONTH(tracking[Effective Date])=cc_month_number))</f>
        <v/>
      </c>
      <c r="K67" s="94">
        <f t="array" ref="K67"> INDEX('Budget Planning'!$E:$EM, income_total_row, MATCH(DATE(selected_year, cc_month_number, 1), 'Budget Planning'!$E$9:$EM$9, 0))</f>
        <v/>
      </c>
      <c r="L67" s="94">
        <f> cc_budget - cc_tracked</f>
        <v/>
      </c>
      <c r="M67" s="94">
        <f> cc_in_focus * cc_show_type * MIN(cc_tracked, cc_budget)</f>
        <v/>
      </c>
      <c r="N67" s="94">
        <f> cc_in_focus * cc_show_type * cc_show_rem_budget * IF(cc_delta&gt;0, cc_delta, 0)</f>
        <v/>
      </c>
      <c r="O67" s="94">
        <f> cc_in_focus * cc_show_type * IF(cc_delta&lt;0, ABS(cc_delta),0)</f>
        <v/>
      </c>
      <c r="P67" s="94">
        <f> NOT(cc_in_focus) * cc_show_type * MIN(cc_tracked, cc_budget)</f>
        <v/>
      </c>
      <c r="Q67" s="94">
        <f> NOT(cc_in_focus) * cc_show_type * cc_show_rem_budget * IF(cc_delta&gt;0, cc_delta, 0)</f>
        <v/>
      </c>
      <c r="R67" s="94">
        <f> NOT(cc_in_focus) * cc_show_type * IF(cc_delta&lt;0, ABS(cc_delta),0)</f>
        <v/>
      </c>
    </row>
    <row r="68">
      <c r="E68" s="77" t="inlineStr">
        <is>
          <t>Expenses</t>
        </is>
      </c>
      <c r="F68" s="77">
        <f> MONTH(D67)</f>
        <v/>
      </c>
      <c r="G68" s="77">
        <f> IF(selected_period="Total Year", 1, IF(selected_period=cc_month_number,1,0))</f>
        <v/>
      </c>
      <c r="H68" s="77">
        <f> 1*$E$50</f>
        <v/>
      </c>
      <c r="I68" s="77">
        <f> 1*$E$52</f>
        <v/>
      </c>
      <c r="J68" s="94">
        <f t="array" ref="J68"> SUM(tracking[Amount] * (tracking[Type]=cc_type) * (YEAR(tracking[Effective Date])=selected_year) * (MONTH(tracking[Effective Date])=cc_month_number))</f>
        <v/>
      </c>
      <c r="K68" s="94">
        <f t="array" ref="K68"> INDEX('Budget Planning'!$E:$EM, expenses_total_row, MATCH(DATE(selected_year, cc_month_number, 1), 'Budget Planning'!$E$9:$EM$9, 0))</f>
        <v/>
      </c>
      <c r="L68" s="94">
        <f> cc_budget - cc_tracked</f>
        <v/>
      </c>
      <c r="M68" s="94">
        <f> cc_in_focus * cc_show_type * MIN(cc_tracked, cc_budget)</f>
        <v/>
      </c>
      <c r="N68" s="94">
        <f> cc_in_focus * cc_show_type * cc_show_rem_budget * IF(cc_delta&gt;0, cc_delta, 0)</f>
        <v/>
      </c>
      <c r="O68" s="94">
        <f> cc_in_focus * cc_show_type * IF(cc_delta&lt;0, ABS(cc_delta),0)</f>
        <v/>
      </c>
      <c r="P68" s="94">
        <f> NOT(cc_in_focus) * cc_show_type * MIN(cc_tracked, cc_budget)</f>
        <v/>
      </c>
      <c r="Q68" s="94">
        <f> NOT(cc_in_focus) * cc_show_type * cc_show_rem_budget * IF(cc_delta&gt;0, cc_delta, 0)</f>
        <v/>
      </c>
      <c r="R68" s="94">
        <f> NOT(cc_in_focus) * cc_show_type * IF(cc_delta&lt;0, ABS(cc_delta),0)</f>
        <v/>
      </c>
    </row>
    <row r="69">
      <c r="E69" s="77" t="inlineStr">
        <is>
          <t>Savings</t>
        </is>
      </c>
      <c r="F69" s="77">
        <f> MONTH(D67)</f>
        <v/>
      </c>
      <c r="G69" s="77">
        <f> IF(selected_period="Total Year", 1, IF(selected_period=cc_month_number,1,0))</f>
        <v/>
      </c>
      <c r="H69" s="77">
        <f> 1*$E$51</f>
        <v/>
      </c>
      <c r="I69" s="77">
        <f> 1*$E$52</f>
        <v/>
      </c>
      <c r="J69" s="94">
        <f t="array" ref="J69"> SUM(tracking[Amount] * (tracking[Type]=cc_type) * (YEAR(tracking[Effective Date])=selected_year) * (MONTH(tracking[Effective Date])=cc_month_number))</f>
        <v/>
      </c>
      <c r="K69" s="94">
        <f t="array" ref="K69"> INDEX('Budget Planning'!$E:$EM, savings_total_row, MATCH(DATE(selected_year, cc_month_number, 1), 'Budget Planning'!$E$9:$EM$9, 0))</f>
        <v/>
      </c>
      <c r="L69" s="94">
        <f> cc_budget - cc_tracked</f>
        <v/>
      </c>
      <c r="M69" s="94">
        <f> cc_in_focus * cc_show_type * MIN(cc_tracked, cc_budget)</f>
        <v/>
      </c>
      <c r="N69" s="94">
        <f> cc_in_focus * cc_show_type * cc_show_rem_budget * IF(cc_delta&gt;0, cc_delta, 0)</f>
        <v/>
      </c>
      <c r="O69" s="94">
        <f> cc_in_focus * cc_show_type * IF(cc_delta&lt;0, ABS(cc_delta),0)</f>
        <v/>
      </c>
      <c r="P69" s="94">
        <f> NOT(cc_in_focus) * cc_show_type * MIN(cc_tracked, cc_budget)</f>
        <v/>
      </c>
      <c r="Q69" s="94">
        <f> NOT(cc_in_focus) * cc_show_type * cc_show_rem_budget * IF(cc_delta&gt;0, cc_delta, 0)</f>
        <v/>
      </c>
      <c r="R69" s="94">
        <f> NOT(cc_in_focus) * cc_show_type * IF(cc_delta&lt;0, ABS(cc_delta),0)</f>
        <v/>
      </c>
    </row>
    <row r="70">
      <c r="D70" s="137" t="n"/>
      <c r="E70" s="93" t="n"/>
      <c r="F70" s="93" t="n"/>
      <c r="G70" s="93" t="n"/>
      <c r="H70" s="93" t="n"/>
      <c r="I70" s="93" t="n"/>
      <c r="J70" s="96" t="n"/>
      <c r="K70" s="96" t="n"/>
      <c r="L70" s="96" t="n"/>
      <c r="M70" s="93" t="n"/>
      <c r="N70" s="93" t="n"/>
      <c r="O70" s="93" t="n"/>
      <c r="P70" s="93" t="n"/>
      <c r="Q70" s="93" t="n"/>
      <c r="R70" s="93" t="n"/>
    </row>
    <row r="71">
      <c r="D71" s="138">
        <f> DATE(selected_year, 5,1)</f>
        <v/>
      </c>
      <c r="E71" s="92" t="inlineStr">
        <is>
          <t>Income</t>
        </is>
      </c>
      <c r="F71" s="77">
        <f> MONTH(D71)</f>
        <v/>
      </c>
      <c r="G71" s="77">
        <f> IF(selected_period="Total Year", 1, IF(selected_period=cc_month_number,1,0))</f>
        <v/>
      </c>
      <c r="H71" s="77">
        <f> 1*$E$49</f>
        <v/>
      </c>
      <c r="I71" s="77">
        <f> 1*$E$52</f>
        <v/>
      </c>
      <c r="J71" s="94">
        <f t="array" ref="J71"> SUM(tracking[Amount] * (tracking[Type]=cc_type) * (YEAR(tracking[Effective Date])=selected_year) * (MONTH(tracking[Effective Date])=cc_month_number))</f>
        <v/>
      </c>
      <c r="K71" s="94">
        <f t="array" ref="K71"> INDEX('Budget Planning'!$E:$EM, income_total_row, MATCH(DATE(selected_year, cc_month_number, 1), 'Budget Planning'!$E$9:$EM$9, 0))</f>
        <v/>
      </c>
      <c r="L71" s="94">
        <f> cc_budget - cc_tracked</f>
        <v/>
      </c>
      <c r="M71" s="94">
        <f> cc_in_focus * cc_show_type * MIN(cc_tracked, cc_budget)</f>
        <v/>
      </c>
      <c r="N71" s="94">
        <f> cc_in_focus * cc_show_type * cc_show_rem_budget * IF(cc_delta&gt;0, cc_delta, 0)</f>
        <v/>
      </c>
      <c r="O71" s="94">
        <f> cc_in_focus * cc_show_type * IF(cc_delta&lt;0, ABS(cc_delta),0)</f>
        <v/>
      </c>
      <c r="P71" s="94">
        <f> NOT(cc_in_focus) * cc_show_type * MIN(cc_tracked, cc_budget)</f>
        <v/>
      </c>
      <c r="Q71" s="94">
        <f> NOT(cc_in_focus) * cc_show_type * cc_show_rem_budget * IF(cc_delta&gt;0, cc_delta, 0)</f>
        <v/>
      </c>
      <c r="R71" s="94">
        <f> NOT(cc_in_focus) * cc_show_type * IF(cc_delta&lt;0, ABS(cc_delta),0)</f>
        <v/>
      </c>
    </row>
    <row r="72">
      <c r="E72" s="77" t="inlineStr">
        <is>
          <t>Expenses</t>
        </is>
      </c>
      <c r="F72" s="77">
        <f> MONTH(D71)</f>
        <v/>
      </c>
      <c r="G72" s="77">
        <f> IF(selected_period="Total Year", 1, IF(selected_period=cc_month_number,1,0))</f>
        <v/>
      </c>
      <c r="H72" s="77">
        <f> 1*$E$50</f>
        <v/>
      </c>
      <c r="I72" s="77">
        <f> 1*$E$52</f>
        <v/>
      </c>
      <c r="J72" s="94">
        <f t="array" ref="J72"> SUM(tracking[Amount] * (tracking[Type]=cc_type) * (YEAR(tracking[Effective Date])=selected_year) * (MONTH(tracking[Effective Date])=cc_month_number))</f>
        <v/>
      </c>
      <c r="K72" s="94">
        <f t="array" ref="K72"> INDEX('Budget Planning'!$E:$EM, expenses_total_row, MATCH(DATE(selected_year, cc_month_number, 1), 'Budget Planning'!$E$9:$EM$9, 0))</f>
        <v/>
      </c>
      <c r="L72" s="94">
        <f> cc_budget - cc_tracked</f>
        <v/>
      </c>
      <c r="M72" s="94">
        <f> cc_in_focus * cc_show_type * MIN(cc_tracked, cc_budget)</f>
        <v/>
      </c>
      <c r="N72" s="94">
        <f> cc_in_focus * cc_show_type * cc_show_rem_budget * IF(cc_delta&gt;0, cc_delta, 0)</f>
        <v/>
      </c>
      <c r="O72" s="94">
        <f> cc_in_focus * cc_show_type * IF(cc_delta&lt;0, ABS(cc_delta),0)</f>
        <v/>
      </c>
      <c r="P72" s="94">
        <f> NOT(cc_in_focus) * cc_show_type * MIN(cc_tracked, cc_budget)</f>
        <v/>
      </c>
      <c r="Q72" s="94">
        <f> NOT(cc_in_focus) * cc_show_type * cc_show_rem_budget * IF(cc_delta&gt;0, cc_delta, 0)</f>
        <v/>
      </c>
      <c r="R72" s="94">
        <f> NOT(cc_in_focus) * cc_show_type * IF(cc_delta&lt;0, ABS(cc_delta),0)</f>
        <v/>
      </c>
    </row>
    <row r="73">
      <c r="E73" s="77" t="inlineStr">
        <is>
          <t>Savings</t>
        </is>
      </c>
      <c r="F73" s="77">
        <f> MONTH(D71)</f>
        <v/>
      </c>
      <c r="G73" s="77">
        <f> IF(selected_period="Total Year", 1, IF(selected_period=cc_month_number,1,0))</f>
        <v/>
      </c>
      <c r="H73" s="77">
        <f> 1*$E$51</f>
        <v/>
      </c>
      <c r="I73" s="77">
        <f> 1*$E$52</f>
        <v/>
      </c>
      <c r="J73" s="94">
        <f t="array" ref="J73"> SUM(tracking[Amount] * (tracking[Type]=cc_type) * (YEAR(tracking[Effective Date])=selected_year) * (MONTH(tracking[Effective Date])=cc_month_number))</f>
        <v/>
      </c>
      <c r="K73" s="94">
        <f t="array" ref="K73"> INDEX('Budget Planning'!$E:$EM, savings_total_row, MATCH(DATE(selected_year, cc_month_number, 1), 'Budget Planning'!$E$9:$EM$9, 0))</f>
        <v/>
      </c>
      <c r="L73" s="94">
        <f> cc_budget - cc_tracked</f>
        <v/>
      </c>
      <c r="M73" s="94">
        <f> cc_in_focus * cc_show_type * MIN(cc_tracked, cc_budget)</f>
        <v/>
      </c>
      <c r="N73" s="94">
        <f> cc_in_focus * cc_show_type * cc_show_rem_budget * IF(cc_delta&gt;0, cc_delta, 0)</f>
        <v/>
      </c>
      <c r="O73" s="94">
        <f> cc_in_focus * cc_show_type * IF(cc_delta&lt;0, ABS(cc_delta),0)</f>
        <v/>
      </c>
      <c r="P73" s="94">
        <f> NOT(cc_in_focus) * cc_show_type * MIN(cc_tracked, cc_budget)</f>
        <v/>
      </c>
      <c r="Q73" s="94">
        <f> NOT(cc_in_focus) * cc_show_type * cc_show_rem_budget * IF(cc_delta&gt;0, cc_delta, 0)</f>
        <v/>
      </c>
      <c r="R73" s="94">
        <f> NOT(cc_in_focus) * cc_show_type * IF(cc_delta&lt;0, ABS(cc_delta),0)</f>
        <v/>
      </c>
    </row>
    <row r="74">
      <c r="D74" s="137" t="n"/>
      <c r="E74" s="93" t="n"/>
      <c r="F74" s="93" t="n"/>
      <c r="G74" s="93" t="n"/>
      <c r="H74" s="93" t="n"/>
      <c r="I74" s="93" t="n"/>
      <c r="J74" s="96" t="n"/>
      <c r="K74" s="96" t="n"/>
      <c r="L74" s="96" t="n"/>
      <c r="M74" s="93" t="n"/>
      <c r="N74" s="93" t="n"/>
      <c r="O74" s="93" t="n"/>
      <c r="P74" s="93" t="n"/>
      <c r="Q74" s="93" t="n"/>
      <c r="R74" s="93" t="n"/>
    </row>
    <row r="75">
      <c r="D75" s="138">
        <f> DATE(selected_year, 6,1)</f>
        <v/>
      </c>
      <c r="E75" s="92" t="inlineStr">
        <is>
          <t>Income</t>
        </is>
      </c>
      <c r="F75" s="77">
        <f> MONTH(D75)</f>
        <v/>
      </c>
      <c r="G75" s="77">
        <f> IF(selected_period="Total Year", 1, IF(selected_period=cc_month_number,1,0))</f>
        <v/>
      </c>
      <c r="H75" s="77">
        <f> 1*$E$49</f>
        <v/>
      </c>
      <c r="I75" s="77">
        <f> 1*$E$52</f>
        <v/>
      </c>
      <c r="J75" s="94">
        <f t="array" ref="J75"> SUM(tracking[Amount] * (tracking[Type]=cc_type) * (YEAR(tracking[Effective Date])=selected_year) * (MONTH(tracking[Effective Date])=cc_month_number))</f>
        <v/>
      </c>
      <c r="K75" s="94">
        <f t="array" ref="K75"> INDEX('Budget Planning'!$E:$EM, income_total_row, MATCH(DATE(selected_year, cc_month_number, 1), 'Budget Planning'!$E$9:$EM$9, 0))</f>
        <v/>
      </c>
      <c r="L75" s="94">
        <f> cc_budget - cc_tracked</f>
        <v/>
      </c>
      <c r="M75" s="94">
        <f> cc_in_focus * cc_show_type * MIN(cc_tracked, cc_budget)</f>
        <v/>
      </c>
      <c r="N75" s="94">
        <f> cc_in_focus * cc_show_type * cc_show_rem_budget * IF(cc_delta&gt;0, cc_delta, 0)</f>
        <v/>
      </c>
      <c r="O75" s="94">
        <f> cc_in_focus * cc_show_type * IF(cc_delta&lt;0, ABS(cc_delta),0)</f>
        <v/>
      </c>
      <c r="P75" s="94">
        <f> NOT(cc_in_focus) * cc_show_type * MIN(cc_tracked, cc_budget)</f>
        <v/>
      </c>
      <c r="Q75" s="94">
        <f> NOT(cc_in_focus) * cc_show_type * cc_show_rem_budget * IF(cc_delta&gt;0, cc_delta, 0)</f>
        <v/>
      </c>
      <c r="R75" s="94">
        <f> NOT(cc_in_focus) * cc_show_type * IF(cc_delta&lt;0, ABS(cc_delta),0)</f>
        <v/>
      </c>
    </row>
    <row r="76">
      <c r="E76" s="77" t="inlineStr">
        <is>
          <t>Expenses</t>
        </is>
      </c>
      <c r="F76" s="77">
        <f> MONTH(D75)</f>
        <v/>
      </c>
      <c r="G76" s="77">
        <f> IF(selected_period="Total Year", 1, IF(selected_period=cc_month_number,1,0))</f>
        <v/>
      </c>
      <c r="H76" s="77">
        <f> 1*$E$50</f>
        <v/>
      </c>
      <c r="I76" s="77">
        <f> 1*$E$52</f>
        <v/>
      </c>
      <c r="J76" s="94">
        <f t="array" ref="J76"> SUM(tracking[Amount] * (tracking[Type]=cc_type) * (YEAR(tracking[Effective Date])=selected_year) * (MONTH(tracking[Effective Date])=cc_month_number))</f>
        <v/>
      </c>
      <c r="K76" s="94">
        <f t="array" ref="K76"> INDEX('Budget Planning'!$E:$EM, expenses_total_row, MATCH(DATE(selected_year, cc_month_number, 1), 'Budget Planning'!$E$9:$EM$9, 0))</f>
        <v/>
      </c>
      <c r="L76" s="94">
        <f> cc_budget - cc_tracked</f>
        <v/>
      </c>
      <c r="M76" s="94">
        <f> cc_in_focus * cc_show_type * MIN(cc_tracked, cc_budget)</f>
        <v/>
      </c>
      <c r="N76" s="94">
        <f> cc_in_focus * cc_show_type * cc_show_rem_budget * IF(cc_delta&gt;0, cc_delta, 0)</f>
        <v/>
      </c>
      <c r="O76" s="94">
        <f> cc_in_focus * cc_show_type * IF(cc_delta&lt;0, ABS(cc_delta),0)</f>
        <v/>
      </c>
      <c r="P76" s="94">
        <f> NOT(cc_in_focus) * cc_show_type * MIN(cc_tracked, cc_budget)</f>
        <v/>
      </c>
      <c r="Q76" s="94">
        <f> NOT(cc_in_focus) * cc_show_type * cc_show_rem_budget * IF(cc_delta&gt;0, cc_delta, 0)</f>
        <v/>
      </c>
      <c r="R76" s="94">
        <f> NOT(cc_in_focus) * cc_show_type * IF(cc_delta&lt;0, ABS(cc_delta),0)</f>
        <v/>
      </c>
    </row>
    <row r="77">
      <c r="E77" s="77" t="inlineStr">
        <is>
          <t>Savings</t>
        </is>
      </c>
      <c r="F77" s="77">
        <f> MONTH(D75)</f>
        <v/>
      </c>
      <c r="G77" s="77">
        <f> IF(selected_period="Total Year", 1, IF(selected_period=cc_month_number,1,0))</f>
        <v/>
      </c>
      <c r="H77" s="77">
        <f> 1*$E$51</f>
        <v/>
      </c>
      <c r="I77" s="77">
        <f> 1*$E$52</f>
        <v/>
      </c>
      <c r="J77" s="94">
        <f t="array" ref="J77"> SUM(tracking[Amount] * (tracking[Type]=cc_type) * (YEAR(tracking[Effective Date])=selected_year) * (MONTH(tracking[Effective Date])=cc_month_number))</f>
        <v/>
      </c>
      <c r="K77" s="94">
        <f t="array" ref="K77"> INDEX('Budget Planning'!$E:$EM, savings_total_row, MATCH(DATE(selected_year, cc_month_number, 1), 'Budget Planning'!$E$9:$EM$9, 0))</f>
        <v/>
      </c>
      <c r="L77" s="94">
        <f> cc_budget - cc_tracked</f>
        <v/>
      </c>
      <c r="M77" s="94">
        <f> cc_in_focus * cc_show_type * MIN(cc_tracked, cc_budget)</f>
        <v/>
      </c>
      <c r="N77" s="94">
        <f> cc_in_focus * cc_show_type * cc_show_rem_budget * IF(cc_delta&gt;0, cc_delta, 0)</f>
        <v/>
      </c>
      <c r="O77" s="94">
        <f> cc_in_focus * cc_show_type * IF(cc_delta&lt;0, ABS(cc_delta),0)</f>
        <v/>
      </c>
      <c r="P77" s="94">
        <f> NOT(cc_in_focus) * cc_show_type * MIN(cc_tracked, cc_budget)</f>
        <v/>
      </c>
      <c r="Q77" s="94">
        <f> NOT(cc_in_focus) * cc_show_type * cc_show_rem_budget * IF(cc_delta&gt;0, cc_delta, 0)</f>
        <v/>
      </c>
      <c r="R77" s="94">
        <f> NOT(cc_in_focus) * cc_show_type * IF(cc_delta&lt;0, ABS(cc_delta),0)</f>
        <v/>
      </c>
    </row>
    <row r="78">
      <c r="D78" s="137" t="n"/>
      <c r="E78" s="93" t="n"/>
      <c r="F78" s="93" t="n"/>
      <c r="G78" s="93" t="n"/>
      <c r="H78" s="93" t="n"/>
      <c r="I78" s="93" t="n"/>
      <c r="J78" s="96" t="n"/>
      <c r="K78" s="96" t="n"/>
      <c r="L78" s="96" t="n"/>
      <c r="M78" s="93" t="n"/>
      <c r="N78" s="93" t="n"/>
      <c r="O78" s="93" t="n"/>
      <c r="P78" s="93" t="n"/>
      <c r="Q78" s="93" t="n"/>
      <c r="R78" s="93" t="n"/>
    </row>
    <row r="79">
      <c r="D79" s="138">
        <f> DATE(selected_year, 7,1)</f>
        <v/>
      </c>
      <c r="E79" s="92" t="inlineStr">
        <is>
          <t>Income</t>
        </is>
      </c>
      <c r="F79" s="77">
        <f> MONTH(D79)</f>
        <v/>
      </c>
      <c r="G79" s="77">
        <f> IF(selected_period="Total Year", 1, IF(selected_period=cc_month_number,1,0))</f>
        <v/>
      </c>
      <c r="H79" s="77">
        <f> 1*$E$49</f>
        <v/>
      </c>
      <c r="I79" s="77">
        <f> 1*$E$52</f>
        <v/>
      </c>
      <c r="J79" s="94">
        <f t="array" ref="J79"> SUM(tracking[Amount] * (tracking[Type]=cc_type) * (YEAR(tracking[Effective Date])=selected_year) * (MONTH(tracking[Effective Date])=cc_month_number))</f>
        <v/>
      </c>
      <c r="K79" s="94">
        <f t="array" ref="K79"> INDEX('Budget Planning'!$E:$EM, income_total_row, MATCH(DATE(selected_year, cc_month_number, 1), 'Budget Planning'!$E$9:$EM$9, 0))</f>
        <v/>
      </c>
      <c r="L79" s="94">
        <f> cc_budget - cc_tracked</f>
        <v/>
      </c>
      <c r="M79" s="94">
        <f> cc_in_focus * cc_show_type * MIN(cc_tracked, cc_budget)</f>
        <v/>
      </c>
      <c r="N79" s="94">
        <f> cc_in_focus * cc_show_type * cc_show_rem_budget * IF(cc_delta&gt;0, cc_delta, 0)</f>
        <v/>
      </c>
      <c r="O79" s="94">
        <f> cc_in_focus * cc_show_type * IF(cc_delta&lt;0, ABS(cc_delta),0)</f>
        <v/>
      </c>
      <c r="P79" s="94">
        <f> NOT(cc_in_focus) * cc_show_type * MIN(cc_tracked, cc_budget)</f>
        <v/>
      </c>
      <c r="Q79" s="94">
        <f> NOT(cc_in_focus) * cc_show_type * cc_show_rem_budget * IF(cc_delta&gt;0, cc_delta, 0)</f>
        <v/>
      </c>
      <c r="R79" s="94">
        <f> NOT(cc_in_focus) * cc_show_type * IF(cc_delta&lt;0, ABS(cc_delta),0)</f>
        <v/>
      </c>
    </row>
    <row r="80">
      <c r="E80" s="77" t="inlineStr">
        <is>
          <t>Expenses</t>
        </is>
      </c>
      <c r="F80" s="77">
        <f> MONTH(D79)</f>
        <v/>
      </c>
      <c r="G80" s="77">
        <f> IF(selected_period="Total Year", 1, IF(selected_period=cc_month_number,1,0))</f>
        <v/>
      </c>
      <c r="H80" s="77">
        <f> 1*$E$50</f>
        <v/>
      </c>
      <c r="I80" s="77">
        <f> 1*$E$52</f>
        <v/>
      </c>
      <c r="J80" s="94">
        <f t="array" ref="J80"> SUM(tracking[Amount] * (tracking[Type]=cc_type) * (YEAR(tracking[Effective Date])=selected_year) * (MONTH(tracking[Effective Date])=cc_month_number))</f>
        <v/>
      </c>
      <c r="K80" s="94">
        <f t="array" ref="K80"> INDEX('Budget Planning'!$E:$EM, expenses_total_row, MATCH(DATE(selected_year, cc_month_number, 1), 'Budget Planning'!$E$9:$EM$9, 0))</f>
        <v/>
      </c>
      <c r="L80" s="94">
        <f> cc_budget - cc_tracked</f>
        <v/>
      </c>
      <c r="M80" s="94">
        <f> cc_in_focus * cc_show_type * MIN(cc_tracked, cc_budget)</f>
        <v/>
      </c>
      <c r="N80" s="94">
        <f> cc_in_focus * cc_show_type * cc_show_rem_budget * IF(cc_delta&gt;0, cc_delta, 0)</f>
        <v/>
      </c>
      <c r="O80" s="94">
        <f> cc_in_focus * cc_show_type * IF(cc_delta&lt;0, ABS(cc_delta),0)</f>
        <v/>
      </c>
      <c r="P80" s="94">
        <f> NOT(cc_in_focus) * cc_show_type * MIN(cc_tracked, cc_budget)</f>
        <v/>
      </c>
      <c r="Q80" s="94">
        <f> NOT(cc_in_focus) * cc_show_type * cc_show_rem_budget * IF(cc_delta&gt;0, cc_delta, 0)</f>
        <v/>
      </c>
      <c r="R80" s="94">
        <f> NOT(cc_in_focus) * cc_show_type * IF(cc_delta&lt;0, ABS(cc_delta),0)</f>
        <v/>
      </c>
    </row>
    <row r="81">
      <c r="E81" s="77" t="inlineStr">
        <is>
          <t>Savings</t>
        </is>
      </c>
      <c r="F81" s="77">
        <f> MONTH(D79)</f>
        <v/>
      </c>
      <c r="G81" s="77">
        <f> IF(selected_period="Total Year", 1, IF(selected_period=cc_month_number,1,0))</f>
        <v/>
      </c>
      <c r="H81" s="77">
        <f> 1*$E$51</f>
        <v/>
      </c>
      <c r="I81" s="77">
        <f> 1*$E$52</f>
        <v/>
      </c>
      <c r="J81" s="94">
        <f t="array" ref="J81"> SUM(tracking[Amount] * (tracking[Type]=cc_type) * (YEAR(tracking[Effective Date])=selected_year) * (MONTH(tracking[Effective Date])=cc_month_number))</f>
        <v/>
      </c>
      <c r="K81" s="94">
        <f t="array" ref="K81"> INDEX('Budget Planning'!$E:$EM, savings_total_row, MATCH(DATE(selected_year, cc_month_number, 1), 'Budget Planning'!$E$9:$EM$9, 0))</f>
        <v/>
      </c>
      <c r="L81" s="94">
        <f> cc_budget - cc_tracked</f>
        <v/>
      </c>
      <c r="M81" s="94">
        <f> cc_in_focus * cc_show_type * MIN(cc_tracked, cc_budget)</f>
        <v/>
      </c>
      <c r="N81" s="94">
        <f> cc_in_focus * cc_show_type * cc_show_rem_budget * IF(cc_delta&gt;0, cc_delta, 0)</f>
        <v/>
      </c>
      <c r="O81" s="94">
        <f> cc_in_focus * cc_show_type * IF(cc_delta&lt;0, ABS(cc_delta),0)</f>
        <v/>
      </c>
      <c r="P81" s="94">
        <f> NOT(cc_in_focus) * cc_show_type * MIN(cc_tracked, cc_budget)</f>
        <v/>
      </c>
      <c r="Q81" s="94">
        <f> NOT(cc_in_focus) * cc_show_type * cc_show_rem_budget * IF(cc_delta&gt;0, cc_delta, 0)</f>
        <v/>
      </c>
      <c r="R81" s="94">
        <f> NOT(cc_in_focus) * cc_show_type * IF(cc_delta&lt;0, ABS(cc_delta),0)</f>
        <v/>
      </c>
    </row>
    <row r="82">
      <c r="D82" s="137" t="n"/>
      <c r="E82" s="93" t="n"/>
      <c r="F82" s="93" t="n"/>
      <c r="G82" s="93" t="n"/>
      <c r="H82" s="93" t="n"/>
      <c r="I82" s="93" t="n"/>
      <c r="J82" s="96" t="n"/>
      <c r="K82" s="96" t="n"/>
      <c r="L82" s="96" t="n"/>
      <c r="M82" s="93" t="n"/>
      <c r="N82" s="93" t="n"/>
      <c r="O82" s="93" t="n"/>
      <c r="P82" s="93" t="n"/>
      <c r="Q82" s="93" t="n"/>
      <c r="R82" s="93" t="n"/>
    </row>
    <row r="83">
      <c r="D83" s="138">
        <f> DATE(selected_year, 8,1)</f>
        <v/>
      </c>
      <c r="E83" s="92" t="inlineStr">
        <is>
          <t>Income</t>
        </is>
      </c>
      <c r="F83" s="77">
        <f> MONTH(D83)</f>
        <v/>
      </c>
      <c r="G83" s="77">
        <f> IF(selected_period="Total Year", 1, IF(selected_period=cc_month_number,1,0))</f>
        <v/>
      </c>
      <c r="H83" s="77">
        <f> 1*$E$49</f>
        <v/>
      </c>
      <c r="I83" s="77">
        <f> 1*$E$52</f>
        <v/>
      </c>
      <c r="J83" s="94">
        <f t="array" ref="J83"> SUM(tracking[Amount] * (tracking[Type]=cc_type) * (YEAR(tracking[Effective Date])=selected_year) * (MONTH(tracking[Effective Date])=cc_month_number))</f>
        <v/>
      </c>
      <c r="K83" s="94">
        <f t="array" ref="K83"> INDEX('Budget Planning'!$E:$EM, income_total_row, MATCH(DATE(selected_year, cc_month_number, 1), 'Budget Planning'!$E$9:$EM$9, 0))</f>
        <v/>
      </c>
      <c r="L83" s="94">
        <f> cc_budget - cc_tracked</f>
        <v/>
      </c>
      <c r="M83" s="94">
        <f> cc_in_focus * cc_show_type * MIN(cc_tracked, cc_budget)</f>
        <v/>
      </c>
      <c r="N83" s="94">
        <f> cc_in_focus * cc_show_type * cc_show_rem_budget * IF(cc_delta&gt;0, cc_delta, 0)</f>
        <v/>
      </c>
      <c r="O83" s="94">
        <f> cc_in_focus * cc_show_type * IF(cc_delta&lt;0, ABS(cc_delta),0)</f>
        <v/>
      </c>
      <c r="P83" s="94">
        <f> NOT(cc_in_focus) * cc_show_type * MIN(cc_tracked, cc_budget)</f>
        <v/>
      </c>
      <c r="Q83" s="94">
        <f> NOT(cc_in_focus) * cc_show_type * cc_show_rem_budget * IF(cc_delta&gt;0, cc_delta, 0)</f>
        <v/>
      </c>
      <c r="R83" s="94">
        <f> NOT(cc_in_focus) * cc_show_type * IF(cc_delta&lt;0, ABS(cc_delta),0)</f>
        <v/>
      </c>
    </row>
    <row r="84">
      <c r="E84" s="77" t="inlineStr">
        <is>
          <t>Expenses</t>
        </is>
      </c>
      <c r="F84" s="77">
        <f> MONTH(D83)</f>
        <v/>
      </c>
      <c r="G84" s="77">
        <f> IF(selected_period="Total Year", 1, IF(selected_period=cc_month_number,1,0))</f>
        <v/>
      </c>
      <c r="H84" s="77">
        <f> 1*$E$50</f>
        <v/>
      </c>
      <c r="I84" s="77">
        <f> 1*$E$52</f>
        <v/>
      </c>
      <c r="J84" s="94">
        <f t="array" ref="J84"> SUM(tracking[Amount] * (tracking[Type]=cc_type) * (YEAR(tracking[Effective Date])=selected_year) * (MONTH(tracking[Effective Date])=cc_month_number))</f>
        <v/>
      </c>
      <c r="K84" s="94">
        <f t="array" ref="K84"> INDEX('Budget Planning'!$E:$EM, expenses_total_row, MATCH(DATE(selected_year, cc_month_number, 1), 'Budget Planning'!$E$9:$EM$9, 0))</f>
        <v/>
      </c>
      <c r="L84" s="94">
        <f> cc_budget - cc_tracked</f>
        <v/>
      </c>
      <c r="M84" s="94">
        <f> cc_in_focus * cc_show_type * MIN(cc_tracked, cc_budget)</f>
        <v/>
      </c>
      <c r="N84" s="94">
        <f> cc_in_focus * cc_show_type * cc_show_rem_budget * IF(cc_delta&gt;0, cc_delta, 0)</f>
        <v/>
      </c>
      <c r="O84" s="94">
        <f> cc_in_focus * cc_show_type * IF(cc_delta&lt;0, ABS(cc_delta),0)</f>
        <v/>
      </c>
      <c r="P84" s="94">
        <f> NOT(cc_in_focus) * cc_show_type * MIN(cc_tracked, cc_budget)</f>
        <v/>
      </c>
      <c r="Q84" s="94">
        <f> NOT(cc_in_focus) * cc_show_type * cc_show_rem_budget * IF(cc_delta&gt;0, cc_delta, 0)</f>
        <v/>
      </c>
      <c r="R84" s="94">
        <f> NOT(cc_in_focus) * cc_show_type * IF(cc_delta&lt;0, ABS(cc_delta),0)</f>
        <v/>
      </c>
    </row>
    <row r="85">
      <c r="E85" s="77" t="inlineStr">
        <is>
          <t>Savings</t>
        </is>
      </c>
      <c r="F85" s="77">
        <f> MONTH(D83)</f>
        <v/>
      </c>
      <c r="G85" s="77">
        <f> IF(selected_period="Total Year", 1, IF(selected_period=cc_month_number,1,0))</f>
        <v/>
      </c>
      <c r="H85" s="77">
        <f> 1*$E$51</f>
        <v/>
      </c>
      <c r="I85" s="77">
        <f> 1*$E$52</f>
        <v/>
      </c>
      <c r="J85" s="94">
        <f t="array" ref="J85"> SUM(tracking[Amount] * (tracking[Type]=cc_type) * (YEAR(tracking[Effective Date])=selected_year) * (MONTH(tracking[Effective Date])=cc_month_number))</f>
        <v/>
      </c>
      <c r="K85" s="94">
        <f t="array" ref="K85"> INDEX('Budget Planning'!$E:$EM, savings_total_row, MATCH(DATE(selected_year, cc_month_number, 1), 'Budget Planning'!$E$9:$EM$9, 0))</f>
        <v/>
      </c>
      <c r="L85" s="94">
        <f> cc_budget - cc_tracked</f>
        <v/>
      </c>
      <c r="M85" s="94">
        <f> cc_in_focus * cc_show_type * MIN(cc_tracked, cc_budget)</f>
        <v/>
      </c>
      <c r="N85" s="94">
        <f> cc_in_focus * cc_show_type * cc_show_rem_budget * IF(cc_delta&gt;0, cc_delta, 0)</f>
        <v/>
      </c>
      <c r="O85" s="94">
        <f> cc_in_focus * cc_show_type * IF(cc_delta&lt;0, ABS(cc_delta),0)</f>
        <v/>
      </c>
      <c r="P85" s="94">
        <f> NOT(cc_in_focus) * cc_show_type * MIN(cc_tracked, cc_budget)</f>
        <v/>
      </c>
      <c r="Q85" s="94">
        <f> NOT(cc_in_focus) * cc_show_type * cc_show_rem_budget * IF(cc_delta&gt;0, cc_delta, 0)</f>
        <v/>
      </c>
      <c r="R85" s="94">
        <f> NOT(cc_in_focus) * cc_show_type * IF(cc_delta&lt;0, ABS(cc_delta),0)</f>
        <v/>
      </c>
    </row>
    <row r="86">
      <c r="D86" s="137" t="n"/>
      <c r="E86" s="93" t="n"/>
      <c r="F86" s="93" t="n"/>
      <c r="G86" s="93" t="n"/>
      <c r="H86" s="93" t="n"/>
      <c r="I86" s="93" t="n"/>
      <c r="J86" s="96" t="n"/>
      <c r="K86" s="96" t="n"/>
      <c r="L86" s="96" t="n"/>
      <c r="M86" s="93" t="n"/>
      <c r="N86" s="93" t="n"/>
      <c r="O86" s="93" t="n"/>
      <c r="P86" s="93" t="n"/>
      <c r="Q86" s="93" t="n"/>
      <c r="R86" s="93" t="n"/>
    </row>
    <row r="87">
      <c r="D87" s="138">
        <f> DATE(selected_year, 9,1)</f>
        <v/>
      </c>
      <c r="E87" s="92" t="inlineStr">
        <is>
          <t>Income</t>
        </is>
      </c>
      <c r="F87" s="77">
        <f> MONTH(D87)</f>
        <v/>
      </c>
      <c r="G87" s="77">
        <f> IF(selected_period="Total Year", 1, IF(selected_period=cc_month_number,1,0))</f>
        <v/>
      </c>
      <c r="H87" s="77">
        <f> 1*$E$49</f>
        <v/>
      </c>
      <c r="I87" s="77">
        <f> 1*$E$52</f>
        <v/>
      </c>
      <c r="J87" s="94">
        <f t="array" ref="J87"> SUM(tracking[Amount] * (tracking[Type]=cc_type) * (YEAR(tracking[Effective Date])=selected_year) * (MONTH(tracking[Effective Date])=cc_month_number))</f>
        <v/>
      </c>
      <c r="K87" s="94">
        <f t="array" ref="K87"> INDEX('Budget Planning'!$E:$EM, income_total_row, MATCH(DATE(selected_year, cc_month_number, 1), 'Budget Planning'!$E$9:$EM$9, 0))</f>
        <v/>
      </c>
      <c r="L87" s="94">
        <f> cc_budget - cc_tracked</f>
        <v/>
      </c>
      <c r="M87" s="94">
        <f> cc_in_focus * cc_show_type * MIN(cc_tracked, cc_budget)</f>
        <v/>
      </c>
      <c r="N87" s="94">
        <f> cc_in_focus * cc_show_type * cc_show_rem_budget * IF(cc_delta&gt;0, cc_delta, 0)</f>
        <v/>
      </c>
      <c r="O87" s="94">
        <f> cc_in_focus * cc_show_type * IF(cc_delta&lt;0, ABS(cc_delta),0)</f>
        <v/>
      </c>
      <c r="P87" s="94">
        <f> NOT(cc_in_focus) * cc_show_type * MIN(cc_tracked, cc_budget)</f>
        <v/>
      </c>
      <c r="Q87" s="94">
        <f> NOT(cc_in_focus) * cc_show_type * cc_show_rem_budget * IF(cc_delta&gt;0, cc_delta, 0)</f>
        <v/>
      </c>
      <c r="R87" s="94">
        <f> NOT(cc_in_focus) * cc_show_type * IF(cc_delta&lt;0, ABS(cc_delta),0)</f>
        <v/>
      </c>
    </row>
    <row r="88">
      <c r="E88" s="77" t="inlineStr">
        <is>
          <t>Expenses</t>
        </is>
      </c>
      <c r="F88" s="77">
        <f> MONTH(D87)</f>
        <v/>
      </c>
      <c r="G88" s="77">
        <f> IF(selected_period="Total Year", 1, IF(selected_period=cc_month_number,1,0))</f>
        <v/>
      </c>
      <c r="H88" s="77">
        <f> 1*$E$50</f>
        <v/>
      </c>
      <c r="I88" s="77">
        <f> 1*$E$52</f>
        <v/>
      </c>
      <c r="J88" s="94">
        <f t="array" ref="J88"> SUM(tracking[Amount] * (tracking[Type]=cc_type) * (YEAR(tracking[Effective Date])=selected_year) * (MONTH(tracking[Effective Date])=cc_month_number))</f>
        <v/>
      </c>
      <c r="K88" s="94">
        <f t="array" ref="K88"> INDEX('Budget Planning'!$E:$EM, expenses_total_row, MATCH(DATE(selected_year, cc_month_number, 1), 'Budget Planning'!$E$9:$EM$9, 0))</f>
        <v/>
      </c>
      <c r="L88" s="94">
        <f> cc_budget - cc_tracked</f>
        <v/>
      </c>
      <c r="M88" s="94">
        <f> cc_in_focus * cc_show_type * MIN(cc_tracked, cc_budget)</f>
        <v/>
      </c>
      <c r="N88" s="94">
        <f> cc_in_focus * cc_show_type * cc_show_rem_budget * IF(cc_delta&gt;0, cc_delta, 0)</f>
        <v/>
      </c>
      <c r="O88" s="94">
        <f> cc_in_focus * cc_show_type * IF(cc_delta&lt;0, ABS(cc_delta),0)</f>
        <v/>
      </c>
      <c r="P88" s="94">
        <f> NOT(cc_in_focus) * cc_show_type * MIN(cc_tracked, cc_budget)</f>
        <v/>
      </c>
      <c r="Q88" s="94">
        <f> NOT(cc_in_focus) * cc_show_type * cc_show_rem_budget * IF(cc_delta&gt;0, cc_delta, 0)</f>
        <v/>
      </c>
      <c r="R88" s="94">
        <f> NOT(cc_in_focus) * cc_show_type * IF(cc_delta&lt;0, ABS(cc_delta),0)</f>
        <v/>
      </c>
    </row>
    <row r="89">
      <c r="E89" s="77" t="inlineStr">
        <is>
          <t>Savings</t>
        </is>
      </c>
      <c r="F89" s="77">
        <f> MONTH(D87)</f>
        <v/>
      </c>
      <c r="G89" s="77">
        <f> IF(selected_period="Total Year", 1, IF(selected_period=cc_month_number,1,0))</f>
        <v/>
      </c>
      <c r="H89" s="77">
        <f> 1*$E$51</f>
        <v/>
      </c>
      <c r="I89" s="77">
        <f> 1*$E$52</f>
        <v/>
      </c>
      <c r="J89" s="94">
        <f t="array" ref="J89"> SUM(tracking[Amount] * (tracking[Type]=cc_type) * (YEAR(tracking[Effective Date])=selected_year) * (MONTH(tracking[Effective Date])=cc_month_number))</f>
        <v/>
      </c>
      <c r="K89" s="94">
        <f t="array" ref="K89"> INDEX('Budget Planning'!$E:$EM, savings_total_row, MATCH(DATE(selected_year, cc_month_number, 1), 'Budget Planning'!$E$9:$EM$9, 0))</f>
        <v/>
      </c>
      <c r="L89" s="94">
        <f> cc_budget - cc_tracked</f>
        <v/>
      </c>
      <c r="M89" s="94">
        <f> cc_in_focus * cc_show_type * MIN(cc_tracked, cc_budget)</f>
        <v/>
      </c>
      <c r="N89" s="94">
        <f> cc_in_focus * cc_show_type * cc_show_rem_budget * IF(cc_delta&gt;0, cc_delta, 0)</f>
        <v/>
      </c>
      <c r="O89" s="94">
        <f> cc_in_focus * cc_show_type * IF(cc_delta&lt;0, ABS(cc_delta),0)</f>
        <v/>
      </c>
      <c r="P89" s="94">
        <f> NOT(cc_in_focus) * cc_show_type * MIN(cc_tracked, cc_budget)</f>
        <v/>
      </c>
      <c r="Q89" s="94">
        <f> NOT(cc_in_focus) * cc_show_type * cc_show_rem_budget * IF(cc_delta&gt;0, cc_delta, 0)</f>
        <v/>
      </c>
      <c r="R89" s="94">
        <f> NOT(cc_in_focus) * cc_show_type * IF(cc_delta&lt;0, ABS(cc_delta),0)</f>
        <v/>
      </c>
    </row>
    <row r="90">
      <c r="D90" s="137" t="n"/>
      <c r="E90" s="93" t="n"/>
      <c r="F90" s="93" t="n"/>
      <c r="G90" s="93" t="n"/>
      <c r="H90" s="93" t="n"/>
      <c r="I90" s="93" t="n"/>
      <c r="J90" s="96" t="n"/>
      <c r="K90" s="96" t="n"/>
      <c r="L90" s="96" t="n"/>
      <c r="M90" s="93" t="n"/>
      <c r="N90" s="93" t="n"/>
      <c r="O90" s="93" t="n"/>
      <c r="P90" s="93" t="n"/>
      <c r="Q90" s="93" t="n"/>
      <c r="R90" s="93" t="n"/>
    </row>
    <row r="91">
      <c r="D91" s="138">
        <f> DATE(selected_year, 10,1)</f>
        <v/>
      </c>
      <c r="E91" s="92" t="inlineStr">
        <is>
          <t>Income</t>
        </is>
      </c>
      <c r="F91" s="77">
        <f> MONTH(D91)</f>
        <v/>
      </c>
      <c r="G91" s="77">
        <f> IF(selected_period="Total Year", 1, IF(selected_period=cc_month_number,1,0))</f>
        <v/>
      </c>
      <c r="H91" s="77">
        <f> 1*$E$49</f>
        <v/>
      </c>
      <c r="I91" s="77">
        <f> 1*$E$52</f>
        <v/>
      </c>
      <c r="J91" s="94">
        <f t="array" ref="J91"> SUM(tracking[Amount] * (tracking[Type]=cc_type) * (YEAR(tracking[Effective Date])=selected_year) * (MONTH(tracking[Effective Date])=cc_month_number))</f>
        <v/>
      </c>
      <c r="K91" s="94">
        <f t="array" ref="K91"> INDEX('Budget Planning'!$E:$EM, income_total_row, MATCH(DATE(selected_year, cc_month_number, 1), 'Budget Planning'!$E$9:$EM$9, 0))</f>
        <v/>
      </c>
      <c r="L91" s="94">
        <f> cc_budget - cc_tracked</f>
        <v/>
      </c>
      <c r="M91" s="94">
        <f> cc_in_focus * cc_show_type * MIN(cc_tracked, cc_budget)</f>
        <v/>
      </c>
      <c r="N91" s="94">
        <f> cc_in_focus * cc_show_type * cc_show_rem_budget * IF(cc_delta&gt;0, cc_delta, 0)</f>
        <v/>
      </c>
      <c r="O91" s="94">
        <f> cc_in_focus * cc_show_type * IF(cc_delta&lt;0, ABS(cc_delta),0)</f>
        <v/>
      </c>
      <c r="P91" s="94">
        <f> NOT(cc_in_focus) * cc_show_type * MIN(cc_tracked, cc_budget)</f>
        <v/>
      </c>
      <c r="Q91" s="94">
        <f> NOT(cc_in_focus) * cc_show_type * cc_show_rem_budget * IF(cc_delta&gt;0, cc_delta, 0)</f>
        <v/>
      </c>
      <c r="R91" s="94">
        <f> NOT(cc_in_focus) * cc_show_type * IF(cc_delta&lt;0, ABS(cc_delta),0)</f>
        <v/>
      </c>
    </row>
    <row r="92">
      <c r="E92" s="77" t="inlineStr">
        <is>
          <t>Expenses</t>
        </is>
      </c>
      <c r="F92" s="77">
        <f> MONTH(D91)</f>
        <v/>
      </c>
      <c r="G92" s="77">
        <f> IF(selected_period="Total Year", 1, IF(selected_period=cc_month_number,1,0))</f>
        <v/>
      </c>
      <c r="H92" s="77">
        <f> 1*$E$50</f>
        <v/>
      </c>
      <c r="I92" s="77">
        <f> 1*$E$52</f>
        <v/>
      </c>
      <c r="J92" s="94">
        <f t="array" ref="J92"> SUM(tracking[Amount] * (tracking[Type]=cc_type) * (YEAR(tracking[Effective Date])=selected_year) * (MONTH(tracking[Effective Date])=cc_month_number))</f>
        <v/>
      </c>
      <c r="K92" s="94">
        <f t="array" ref="K92"> INDEX('Budget Planning'!$E:$EM, expenses_total_row, MATCH(DATE(selected_year, cc_month_number, 1), 'Budget Planning'!$E$9:$EM$9, 0))</f>
        <v/>
      </c>
      <c r="L92" s="94">
        <f> cc_budget - cc_tracked</f>
        <v/>
      </c>
      <c r="M92" s="94">
        <f> cc_in_focus * cc_show_type * MIN(cc_tracked, cc_budget)</f>
        <v/>
      </c>
      <c r="N92" s="94">
        <f> cc_in_focus * cc_show_type * cc_show_rem_budget * IF(cc_delta&gt;0, cc_delta, 0)</f>
        <v/>
      </c>
      <c r="O92" s="94">
        <f> cc_in_focus * cc_show_type * IF(cc_delta&lt;0, ABS(cc_delta),0)</f>
        <v/>
      </c>
      <c r="P92" s="94">
        <f> NOT(cc_in_focus) * cc_show_type * MIN(cc_tracked, cc_budget)</f>
        <v/>
      </c>
      <c r="Q92" s="94">
        <f> NOT(cc_in_focus) * cc_show_type * cc_show_rem_budget * IF(cc_delta&gt;0, cc_delta, 0)</f>
        <v/>
      </c>
      <c r="R92" s="94">
        <f> NOT(cc_in_focus) * cc_show_type * IF(cc_delta&lt;0, ABS(cc_delta),0)</f>
        <v/>
      </c>
    </row>
    <row r="93">
      <c r="E93" s="77" t="inlineStr">
        <is>
          <t>Savings</t>
        </is>
      </c>
      <c r="F93" s="77">
        <f> MONTH(D91)</f>
        <v/>
      </c>
      <c r="G93" s="77">
        <f> IF(selected_period="Total Year", 1, IF(selected_period=cc_month_number,1,0))</f>
        <v/>
      </c>
      <c r="H93" s="77">
        <f> 1*$E$51</f>
        <v/>
      </c>
      <c r="I93" s="77">
        <f> 1*$E$52</f>
        <v/>
      </c>
      <c r="J93" s="94">
        <f t="array" ref="J93"> SUM(tracking[Amount] * (tracking[Type]=cc_type) * (YEAR(tracking[Effective Date])=selected_year) * (MONTH(tracking[Effective Date])=cc_month_number))</f>
        <v/>
      </c>
      <c r="K93" s="94">
        <f t="array" ref="K93"> INDEX('Budget Planning'!$E:$EM, savings_total_row, MATCH(DATE(selected_year, cc_month_number, 1), 'Budget Planning'!$E$9:$EM$9, 0))</f>
        <v/>
      </c>
      <c r="L93" s="94">
        <f> cc_budget - cc_tracked</f>
        <v/>
      </c>
      <c r="M93" s="94">
        <f> cc_in_focus * cc_show_type * MIN(cc_tracked, cc_budget)</f>
        <v/>
      </c>
      <c r="N93" s="94">
        <f> cc_in_focus * cc_show_type * cc_show_rem_budget * IF(cc_delta&gt;0, cc_delta, 0)</f>
        <v/>
      </c>
      <c r="O93" s="94">
        <f> cc_in_focus * cc_show_type * IF(cc_delta&lt;0, ABS(cc_delta),0)</f>
        <v/>
      </c>
      <c r="P93" s="94">
        <f> NOT(cc_in_focus) * cc_show_type * MIN(cc_tracked, cc_budget)</f>
        <v/>
      </c>
      <c r="Q93" s="94">
        <f> NOT(cc_in_focus) * cc_show_type * cc_show_rem_budget * IF(cc_delta&gt;0, cc_delta, 0)</f>
        <v/>
      </c>
      <c r="R93" s="94">
        <f> NOT(cc_in_focus) * cc_show_type * IF(cc_delta&lt;0, ABS(cc_delta),0)</f>
        <v/>
      </c>
    </row>
    <row r="94">
      <c r="D94" s="137" t="n"/>
      <c r="E94" s="93" t="n"/>
      <c r="F94" s="93" t="n"/>
      <c r="G94" s="93" t="n"/>
      <c r="H94" s="93" t="n"/>
      <c r="I94" s="93" t="n"/>
      <c r="J94" s="96" t="n"/>
      <c r="K94" s="96" t="n"/>
      <c r="L94" s="96" t="n"/>
      <c r="M94" s="93" t="n"/>
      <c r="N94" s="93" t="n"/>
      <c r="O94" s="93" t="n"/>
      <c r="P94" s="93" t="n"/>
      <c r="Q94" s="93" t="n"/>
      <c r="R94" s="93" t="n"/>
    </row>
    <row r="95">
      <c r="D95" s="138">
        <f> DATE(selected_year, 11,1)</f>
        <v/>
      </c>
      <c r="E95" s="92" t="inlineStr">
        <is>
          <t>Income</t>
        </is>
      </c>
      <c r="F95" s="77">
        <f> MONTH(D95)</f>
        <v/>
      </c>
      <c r="G95" s="77">
        <f> IF(selected_period="Total Year", 1, IF(selected_period=cc_month_number,1,0))</f>
        <v/>
      </c>
      <c r="H95" s="77">
        <f> 1*$E$49</f>
        <v/>
      </c>
      <c r="I95" s="77">
        <f> 1*$E$52</f>
        <v/>
      </c>
      <c r="J95" s="94">
        <f t="array" ref="J95"> SUM(tracking[Amount] * (tracking[Type]=cc_type) * (YEAR(tracking[Effective Date])=selected_year) * (MONTH(tracking[Effective Date])=cc_month_number))</f>
        <v/>
      </c>
      <c r="K95" s="94">
        <f t="array" ref="K95"> INDEX('Budget Planning'!$E:$EM, income_total_row, MATCH(DATE(selected_year, cc_month_number, 1), 'Budget Planning'!$E$9:$EM$9, 0))</f>
        <v/>
      </c>
      <c r="L95" s="94">
        <f> cc_budget - cc_tracked</f>
        <v/>
      </c>
      <c r="M95" s="94">
        <f> cc_in_focus * cc_show_type * MIN(cc_tracked, cc_budget)</f>
        <v/>
      </c>
      <c r="N95" s="94">
        <f> cc_in_focus * cc_show_type * cc_show_rem_budget * IF(cc_delta&gt;0, cc_delta, 0)</f>
        <v/>
      </c>
      <c r="O95" s="94">
        <f> cc_in_focus * cc_show_type * IF(cc_delta&lt;0, ABS(cc_delta),0)</f>
        <v/>
      </c>
      <c r="P95" s="94">
        <f> NOT(cc_in_focus) * cc_show_type * MIN(cc_tracked, cc_budget)</f>
        <v/>
      </c>
      <c r="Q95" s="94">
        <f> NOT(cc_in_focus) * cc_show_type * cc_show_rem_budget * IF(cc_delta&gt;0, cc_delta, 0)</f>
        <v/>
      </c>
      <c r="R95" s="94">
        <f> NOT(cc_in_focus) * cc_show_type * IF(cc_delta&lt;0, ABS(cc_delta),0)</f>
        <v/>
      </c>
    </row>
    <row r="96">
      <c r="E96" s="77" t="inlineStr">
        <is>
          <t>Expenses</t>
        </is>
      </c>
      <c r="F96" s="77">
        <f> MONTH(D95)</f>
        <v/>
      </c>
      <c r="G96" s="77">
        <f> IF(selected_period="Total Year", 1, IF(selected_period=cc_month_number,1,0))</f>
        <v/>
      </c>
      <c r="H96" s="77">
        <f> 1*$E$50</f>
        <v/>
      </c>
      <c r="I96" s="77">
        <f> 1*$E$52</f>
        <v/>
      </c>
      <c r="J96" s="94">
        <f t="array" ref="J96"> SUM(tracking[Amount] * (tracking[Type]=cc_type) * (YEAR(tracking[Effective Date])=selected_year) * (MONTH(tracking[Effective Date])=cc_month_number))</f>
        <v/>
      </c>
      <c r="K96" s="94">
        <f t="array" ref="K96"> INDEX('Budget Planning'!$E:$EM, expenses_total_row, MATCH(DATE(selected_year, cc_month_number, 1), 'Budget Planning'!$E$9:$EM$9, 0))</f>
        <v/>
      </c>
      <c r="L96" s="94">
        <f> cc_budget - cc_tracked</f>
        <v/>
      </c>
      <c r="M96" s="94">
        <f> cc_in_focus * cc_show_type * MIN(cc_tracked, cc_budget)</f>
        <v/>
      </c>
      <c r="N96" s="94">
        <f> cc_in_focus * cc_show_type * cc_show_rem_budget * IF(cc_delta&gt;0, cc_delta, 0)</f>
        <v/>
      </c>
      <c r="O96" s="94">
        <f> cc_in_focus * cc_show_type * IF(cc_delta&lt;0, ABS(cc_delta),0)</f>
        <v/>
      </c>
      <c r="P96" s="94">
        <f> NOT(cc_in_focus) * cc_show_type * MIN(cc_tracked, cc_budget)</f>
        <v/>
      </c>
      <c r="Q96" s="94">
        <f> NOT(cc_in_focus) * cc_show_type * cc_show_rem_budget * IF(cc_delta&gt;0, cc_delta, 0)</f>
        <v/>
      </c>
      <c r="R96" s="94">
        <f> NOT(cc_in_focus) * cc_show_type * IF(cc_delta&lt;0, ABS(cc_delta),0)</f>
        <v/>
      </c>
    </row>
    <row r="97">
      <c r="E97" s="77" t="inlineStr">
        <is>
          <t>Savings</t>
        </is>
      </c>
      <c r="F97" s="77">
        <f> MONTH(D95)</f>
        <v/>
      </c>
      <c r="G97" s="77">
        <f> IF(selected_period="Total Year", 1, IF(selected_period=cc_month_number,1,0))</f>
        <v/>
      </c>
      <c r="H97" s="77">
        <f> 1*$E$51</f>
        <v/>
      </c>
      <c r="I97" s="77">
        <f> 1*$E$52</f>
        <v/>
      </c>
      <c r="J97" s="94">
        <f t="array" ref="J97"> SUM(tracking[Amount] * (tracking[Type]=cc_type) * (YEAR(tracking[Effective Date])=selected_year) * (MONTH(tracking[Effective Date])=cc_month_number))</f>
        <v/>
      </c>
      <c r="K97" s="94">
        <f t="array" ref="K97"> INDEX('Budget Planning'!$E:$EM, savings_total_row, MATCH(DATE(selected_year, cc_month_number, 1), 'Budget Planning'!$E$9:$EM$9, 0))</f>
        <v/>
      </c>
      <c r="L97" s="94">
        <f> cc_budget - cc_tracked</f>
        <v/>
      </c>
      <c r="M97" s="94">
        <f> cc_in_focus * cc_show_type * MIN(cc_tracked, cc_budget)</f>
        <v/>
      </c>
      <c r="N97" s="94">
        <f> cc_in_focus * cc_show_type * cc_show_rem_budget * IF(cc_delta&gt;0, cc_delta, 0)</f>
        <v/>
      </c>
      <c r="O97" s="94">
        <f> cc_in_focus * cc_show_type * IF(cc_delta&lt;0, ABS(cc_delta),0)</f>
        <v/>
      </c>
      <c r="P97" s="94">
        <f> NOT(cc_in_focus) * cc_show_type * MIN(cc_tracked, cc_budget)</f>
        <v/>
      </c>
      <c r="Q97" s="94">
        <f> NOT(cc_in_focus) * cc_show_type * cc_show_rem_budget * IF(cc_delta&gt;0, cc_delta, 0)</f>
        <v/>
      </c>
      <c r="R97" s="94">
        <f> NOT(cc_in_focus) * cc_show_type * IF(cc_delta&lt;0, ABS(cc_delta),0)</f>
        <v/>
      </c>
    </row>
    <row r="98">
      <c r="D98" s="137" t="n"/>
      <c r="E98" s="93" t="n"/>
      <c r="F98" s="93" t="n"/>
      <c r="G98" s="93" t="n"/>
      <c r="H98" s="93" t="n"/>
      <c r="I98" s="93" t="n"/>
      <c r="J98" s="96" t="n"/>
      <c r="K98" s="96" t="n"/>
      <c r="L98" s="96" t="n"/>
      <c r="M98" s="93" t="n"/>
      <c r="N98" s="93" t="n"/>
      <c r="O98" s="93" t="n"/>
      <c r="P98" s="93" t="n"/>
      <c r="Q98" s="93" t="n"/>
      <c r="R98" s="93" t="n"/>
    </row>
    <row r="99">
      <c r="D99" s="138">
        <f> DATE(selected_year, 12,1)</f>
        <v/>
      </c>
      <c r="E99" s="92" t="inlineStr">
        <is>
          <t>Income</t>
        </is>
      </c>
      <c r="F99" s="77">
        <f> MONTH(D99)</f>
        <v/>
      </c>
      <c r="G99" s="77">
        <f> IF(selected_period="Total Year", 1, IF(selected_period=cc_month_number,1,0))</f>
        <v/>
      </c>
      <c r="H99" s="77">
        <f> 1*$E$49</f>
        <v/>
      </c>
      <c r="I99" s="77">
        <f> 1*$E$52</f>
        <v/>
      </c>
      <c r="J99" s="94">
        <f t="array" ref="J99"> SUM(tracking[Amount] * (tracking[Type]=cc_type) * (YEAR(tracking[Effective Date])=selected_year) * (MONTH(tracking[Effective Date])=cc_month_number))</f>
        <v/>
      </c>
      <c r="K99" s="94">
        <f t="array" ref="K99"> INDEX('Budget Planning'!$E:$EM, income_total_row, MATCH(DATE(selected_year, cc_month_number, 1), 'Budget Planning'!$E$9:$EM$9, 0))</f>
        <v/>
      </c>
      <c r="L99" s="94">
        <f> cc_budget - cc_tracked</f>
        <v/>
      </c>
      <c r="M99" s="94">
        <f> cc_in_focus * cc_show_type * MIN(cc_tracked, cc_budget)</f>
        <v/>
      </c>
      <c r="N99" s="94">
        <f> cc_in_focus * cc_show_type * cc_show_rem_budget * IF(cc_delta&gt;0, cc_delta, 0)</f>
        <v/>
      </c>
      <c r="O99" s="94">
        <f> cc_in_focus * cc_show_type * IF(cc_delta&lt;0, ABS(cc_delta),0)</f>
        <v/>
      </c>
      <c r="P99" s="94">
        <f> NOT(cc_in_focus) * cc_show_type * MIN(cc_tracked, cc_budget)</f>
        <v/>
      </c>
      <c r="Q99" s="94">
        <f> NOT(cc_in_focus) * cc_show_type * cc_show_rem_budget * IF(cc_delta&gt;0, cc_delta, 0)</f>
        <v/>
      </c>
      <c r="R99" s="94">
        <f> NOT(cc_in_focus) * cc_show_type * IF(cc_delta&lt;0, ABS(cc_delta),0)</f>
        <v/>
      </c>
    </row>
    <row r="100">
      <c r="E100" s="77" t="inlineStr">
        <is>
          <t>Expenses</t>
        </is>
      </c>
      <c r="F100" s="77">
        <f> MONTH(D99)</f>
        <v/>
      </c>
      <c r="G100" s="77">
        <f> IF(selected_period="Total Year", 1, IF(selected_period=cc_month_number,1,0))</f>
        <v/>
      </c>
      <c r="H100" s="77">
        <f> 1*$E$50</f>
        <v/>
      </c>
      <c r="I100" s="77">
        <f> 1*$E$52</f>
        <v/>
      </c>
      <c r="J100" s="94">
        <f t="array" ref="J100"> SUM(tracking[Amount] * (tracking[Type]=cc_type) * (YEAR(tracking[Effective Date])=selected_year) * (MONTH(tracking[Effective Date])=cc_month_number))</f>
        <v/>
      </c>
      <c r="K100" s="94">
        <f t="array" ref="K100"> INDEX('Budget Planning'!$E:$EM, expenses_total_row, MATCH(DATE(selected_year, cc_month_number, 1), 'Budget Planning'!$E$9:$EM$9, 0))</f>
        <v/>
      </c>
      <c r="L100" s="94">
        <f> cc_budget - cc_tracked</f>
        <v/>
      </c>
      <c r="M100" s="94">
        <f> cc_in_focus * cc_show_type * MIN(cc_tracked, cc_budget)</f>
        <v/>
      </c>
      <c r="N100" s="94">
        <f> cc_in_focus * cc_show_type * cc_show_rem_budget * IF(cc_delta&gt;0, cc_delta, 0)</f>
        <v/>
      </c>
      <c r="O100" s="94">
        <f> cc_in_focus * cc_show_type * IF(cc_delta&lt;0, ABS(cc_delta),0)</f>
        <v/>
      </c>
      <c r="P100" s="94">
        <f> NOT(cc_in_focus) * cc_show_type * MIN(cc_tracked, cc_budget)</f>
        <v/>
      </c>
      <c r="Q100" s="94">
        <f> NOT(cc_in_focus) * cc_show_type * cc_show_rem_budget * IF(cc_delta&gt;0, cc_delta, 0)</f>
        <v/>
      </c>
      <c r="R100" s="94">
        <f> NOT(cc_in_focus) * cc_show_type * IF(cc_delta&lt;0, ABS(cc_delta),0)</f>
        <v/>
      </c>
    </row>
    <row r="101">
      <c r="E101" s="77" t="inlineStr">
        <is>
          <t>Savings</t>
        </is>
      </c>
      <c r="F101" s="77">
        <f> MONTH(D99)</f>
        <v/>
      </c>
      <c r="G101" s="77">
        <f> IF(selected_period="Total Year", 1, IF(selected_period=cc_month_number,1,0))</f>
        <v/>
      </c>
      <c r="H101" s="77">
        <f> 1*$E$51</f>
        <v/>
      </c>
      <c r="I101" s="77">
        <f> 1*$E$52</f>
        <v/>
      </c>
      <c r="J101" s="94">
        <f t="array" ref="J101"> SUM(tracking[Amount] * (tracking[Type]=cc_type) * (YEAR(tracking[Effective Date])=selected_year) * (MONTH(tracking[Effective Date])=cc_month_number))</f>
        <v/>
      </c>
      <c r="K101" s="94">
        <f t="array" ref="K101"> INDEX('Budget Planning'!$E:$EM, savings_total_row, MATCH(DATE(selected_year, cc_month_number, 1), 'Budget Planning'!$E$9:$EM$9, 0))</f>
        <v/>
      </c>
      <c r="L101" s="94">
        <f> cc_budget - cc_tracked</f>
        <v/>
      </c>
      <c r="M101" s="94">
        <f> cc_in_focus * cc_show_type * MIN(cc_tracked, cc_budget)</f>
        <v/>
      </c>
      <c r="N101" s="94">
        <f> cc_in_focus * cc_show_type * cc_show_rem_budget * IF(cc_delta&gt;0, cc_delta, 0)</f>
        <v/>
      </c>
      <c r="O101" s="94">
        <f> cc_in_focus * cc_show_type * IF(cc_delta&lt;0, ABS(cc_delta),0)</f>
        <v/>
      </c>
      <c r="P101" s="94">
        <f> NOT(cc_in_focus) * cc_show_type * MIN(cc_tracked, cc_budget)</f>
        <v/>
      </c>
      <c r="Q101" s="94">
        <f> NOT(cc_in_focus) * cc_show_type * cc_show_rem_budget * IF(cc_delta&gt;0, cc_delta, 0)</f>
        <v/>
      </c>
      <c r="R101" s="94">
        <f> NOT(cc_in_focus) * cc_show_type * IF(cc_delta&lt;0, ABS(cc_delta),0)</f>
        <v/>
      </c>
    </row>
    <row r="102">
      <c r="D102" s="137" t="n"/>
      <c r="E102" s="93" t="n"/>
      <c r="F102" s="93" t="n"/>
      <c r="G102" s="93" t="n"/>
      <c r="H102" s="93" t="n"/>
      <c r="I102" s="93" t="n"/>
      <c r="J102" s="96" t="n"/>
      <c r="K102" s="96" t="n"/>
      <c r="L102" s="96" t="n"/>
      <c r="M102" s="93" t="n"/>
      <c r="N102" s="93" t="n"/>
      <c r="O102" s="93" t="n"/>
      <c r="P102" s="93" t="n"/>
      <c r="Q102" s="93" t="n"/>
      <c r="R102" s="93" t="n"/>
    </row>
  </sheetData>
  <mergeCells count="17">
    <mergeCell ref="D67:D70"/>
    <mergeCell ref="C17:F17"/>
    <mergeCell ref="D71:D74"/>
    <mergeCell ref="D83:D86"/>
    <mergeCell ref="D79:D82"/>
    <mergeCell ref="D55:D58"/>
    <mergeCell ref="D87:D90"/>
    <mergeCell ref="D91:D94"/>
    <mergeCell ref="D99:D102"/>
    <mergeCell ref="C6:F6"/>
    <mergeCell ref="M53:O53"/>
    <mergeCell ref="P53:R53"/>
    <mergeCell ref="D59:D62"/>
    <mergeCell ref="D63:D66"/>
    <mergeCell ref="B1:F3"/>
    <mergeCell ref="D75:D78"/>
    <mergeCell ref="D95:D98"/>
  </mergeCell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tabColor theme="3" tint="0.499984740745262"/>
    <outlinePr summaryBelow="1" summaryRight="1"/>
    <pageSetUpPr/>
  </sheetPr>
  <dimension ref="B1:Q21"/>
  <sheetViews>
    <sheetView showGridLines="0" workbookViewId="0">
      <selection activeCell="H32" sqref="H32"/>
    </sheetView>
  </sheetViews>
  <sheetFormatPr baseColWidth="10" defaultColWidth="10.83203125" defaultRowHeight="16"/>
  <cols>
    <col width="6.1640625" customWidth="1" min="1" max="1"/>
    <col width="3.83203125" customWidth="1" min="2" max="2"/>
    <col width="18" customWidth="1" min="3" max="3"/>
    <col width="20.6640625" customWidth="1" min="5" max="5"/>
  </cols>
  <sheetData>
    <row r="1" customFormat="1" s="44">
      <c r="B1" s="132" t="inlineStr">
        <is>
          <t>Dropdown Data</t>
        </is>
      </c>
      <c r="N1" s="139" t="inlineStr">
        <is>
          <t>Income Categories</t>
        </is>
      </c>
      <c r="O1" s="139" t="inlineStr">
        <is>
          <t>Expense Categories</t>
        </is>
      </c>
      <c r="P1" s="139" t="inlineStr">
        <is>
          <t>Savings Categories</t>
        </is>
      </c>
      <c r="Q1" s="139" t="inlineStr">
        <is>
          <t>All Categories</t>
        </is>
      </c>
    </row>
    <row r="2" customFormat="1" s="44">
      <c r="N2" s="140" t="inlineStr">
        <is>
          <t>Employment (Net)</t>
        </is>
      </c>
      <c r="O2" s="140" t="inlineStr">
        <is>
          <t>Rent / Mortgage</t>
        </is>
      </c>
      <c r="P2" s="140" t="inlineStr">
        <is>
          <t>Emergency Fund</t>
        </is>
      </c>
      <c r="Q2" s="140" t="inlineStr">
        <is>
          <t>Employment (Net)</t>
        </is>
      </c>
    </row>
    <row r="3" customFormat="1" s="44">
      <c r="N3" s="140" t="inlineStr">
        <is>
          <t>Reimbursements</t>
        </is>
      </c>
      <c r="O3" s="140" t="inlineStr">
        <is>
          <t>Food &amp; Groceries</t>
        </is>
      </c>
      <c r="P3" s="140" t="inlineStr">
        <is>
          <t>Stock Portfolio</t>
        </is>
      </c>
      <c r="Q3" s="140" t="inlineStr">
        <is>
          <t>Reimbursements</t>
        </is>
      </c>
    </row>
    <row r="4">
      <c r="N4" s="140" t="inlineStr">
        <is>
          <t>Bonus</t>
        </is>
      </c>
      <c r="O4" s="140" t="inlineStr">
        <is>
          <t>Subscriptions</t>
        </is>
      </c>
      <c r="P4" s="140" t="inlineStr">
        <is>
          <t>401(k)</t>
        </is>
      </c>
      <c r="Q4" s="140" t="inlineStr">
        <is>
          <t>Bonus</t>
        </is>
      </c>
    </row>
    <row r="5">
      <c r="N5" s="140" t="inlineStr">
        <is>
          <t>Refunds</t>
        </is>
      </c>
      <c r="O5" s="140" t="inlineStr">
        <is>
          <t>Utilities</t>
        </is>
      </c>
      <c r="P5" s="140" t="inlineStr">
        <is>
          <t>Roth IRA</t>
        </is>
      </c>
      <c r="Q5" s="140" t="inlineStr">
        <is>
          <t>Refunds</t>
        </is>
      </c>
    </row>
    <row r="6">
      <c r="N6" s="140" t="inlineStr">
        <is>
          <t>Side Hustle (Net)</t>
        </is>
      </c>
      <c r="O6" s="140" t="inlineStr">
        <is>
          <t>Transportation</t>
        </is>
      </c>
      <c r="P6" s="140" t="inlineStr">
        <is>
          <t>HSA</t>
        </is>
      </c>
      <c r="Q6" s="140" t="inlineStr">
        <is>
          <t>Side Hustle (Net)</t>
        </is>
      </c>
    </row>
    <row r="7">
      <c r="C7" s="50" t="inlineStr">
        <is>
          <t>Year Dropdown</t>
        </is>
      </c>
      <c r="E7" s="50" t="inlineStr">
        <is>
          <t>Period Dropdown</t>
        </is>
      </c>
      <c r="N7" s="140" t="inlineStr">
        <is>
          <t>Other Income</t>
        </is>
      </c>
      <c r="O7" s="140" t="inlineStr">
        <is>
          <t>Healthcare</t>
        </is>
      </c>
      <c r="Q7" s="140" t="inlineStr">
        <is>
          <t>Other Income</t>
        </is>
      </c>
    </row>
    <row r="8">
      <c r="C8" s="51" t="inlineStr">
        <is>
          <t>Current Year</t>
        </is>
      </c>
      <c r="E8" s="51" t="inlineStr">
        <is>
          <t>Total Year</t>
        </is>
      </c>
      <c r="O8" s="140" t="inlineStr">
        <is>
          <t>Entertainment</t>
        </is>
      </c>
      <c r="Q8" s="140" t="inlineStr">
        <is>
          <t>Rent / Mortgage</t>
        </is>
      </c>
    </row>
    <row r="9">
      <c r="C9" s="51">
        <f> starting_year</f>
        <v/>
      </c>
      <c r="E9" s="51" t="inlineStr">
        <is>
          <t>Current Month</t>
        </is>
      </c>
      <c r="O9" s="140" t="inlineStr">
        <is>
          <t>Clothing</t>
        </is>
      </c>
      <c r="Q9" s="140" t="inlineStr">
        <is>
          <t>Food &amp; Groceries</t>
        </is>
      </c>
    </row>
    <row r="10">
      <c r="C10" s="51">
        <f>C9+1</f>
        <v/>
      </c>
      <c r="E10" s="53" t="n">
        <v>36526</v>
      </c>
      <c r="O10" s="140" t="inlineStr">
        <is>
          <t>Personal Care</t>
        </is>
      </c>
      <c r="Q10" s="140" t="inlineStr">
        <is>
          <t>Subscriptions</t>
        </is>
      </c>
    </row>
    <row r="11">
      <c r="C11" s="51">
        <f>C10+1</f>
        <v/>
      </c>
      <c r="E11" s="53" t="n">
        <v>36557</v>
      </c>
      <c r="Q11" s="140" t="inlineStr">
        <is>
          <t>Utilities</t>
        </is>
      </c>
    </row>
    <row r="12">
      <c r="C12" s="51">
        <f>C11+1</f>
        <v/>
      </c>
      <c r="E12" s="53" t="n">
        <v>36586</v>
      </c>
      <c r="Q12" s="140" t="inlineStr">
        <is>
          <t>Transportation</t>
        </is>
      </c>
    </row>
    <row r="13">
      <c r="C13" s="51">
        <f>C12+1</f>
        <v/>
      </c>
      <c r="E13" s="53" t="n">
        <v>36617</v>
      </c>
      <c r="Q13" s="140" t="inlineStr">
        <is>
          <t>Healthcare</t>
        </is>
      </c>
    </row>
    <row r="14">
      <c r="C14" s="51">
        <f>C13+1</f>
        <v/>
      </c>
      <c r="E14" s="53" t="n">
        <v>36647</v>
      </c>
      <c r="Q14" s="140" t="inlineStr">
        <is>
          <t>Entertainment</t>
        </is>
      </c>
    </row>
    <row r="15">
      <c r="C15" s="51">
        <f>C14+1</f>
        <v/>
      </c>
      <c r="E15" s="53" t="n">
        <v>36678</v>
      </c>
      <c r="Q15" s="140" t="inlineStr">
        <is>
          <t>Clothing</t>
        </is>
      </c>
    </row>
    <row r="16">
      <c r="C16" s="51">
        <f>C15+1</f>
        <v/>
      </c>
      <c r="E16" s="53" t="n">
        <v>36708</v>
      </c>
      <c r="Q16" s="140" t="inlineStr">
        <is>
          <t>Personal Care</t>
        </is>
      </c>
    </row>
    <row r="17">
      <c r="C17" s="51">
        <f>C16+1</f>
        <v/>
      </c>
      <c r="E17" s="53" t="n">
        <v>36739</v>
      </c>
      <c r="Q17" s="140" t="inlineStr">
        <is>
          <t>Emergency Fund</t>
        </is>
      </c>
    </row>
    <row r="18">
      <c r="C18" s="52">
        <f>C17+1</f>
        <v/>
      </c>
      <c r="E18" s="53" t="n">
        <v>36770</v>
      </c>
      <c r="Q18" s="140" t="inlineStr">
        <is>
          <t>Stock Portfolio</t>
        </is>
      </c>
    </row>
    <row r="19">
      <c r="E19" s="53" t="n">
        <v>36800</v>
      </c>
      <c r="Q19" s="140" t="inlineStr">
        <is>
          <t>401(k)</t>
        </is>
      </c>
    </row>
    <row r="20">
      <c r="E20" s="53" t="n">
        <v>36831</v>
      </c>
      <c r="Q20" s="140" t="inlineStr">
        <is>
          <t>Roth IRA</t>
        </is>
      </c>
    </row>
    <row r="21">
      <c r="E21" s="54" t="n">
        <v>36861</v>
      </c>
      <c r="Q21" s="140" t="inlineStr">
        <is>
          <t>HSA</t>
        </is>
      </c>
    </row>
  </sheetData>
  <mergeCells count="1">
    <mergeCell ref="B1:F3"/>
  </mergeCells>
  <pageMargins left="0.7" right="0.7" top="0.75" bottom="0.75" header="0.3" footer="0.3"/>
</worksheet>
</file>

<file path=xl/worksheets/sheet7.xml><?xml version="1.0" encoding="utf-8"?>
<worksheet xmlns="http://schemas.openxmlformats.org/spreadsheetml/2006/main">
  <sheetPr>
    <tabColor theme="3" tint="0.749992370372631"/>
    <outlinePr summaryBelow="1" summaryRight="1"/>
    <pageSetUpPr/>
  </sheetPr>
  <dimension ref="A1:Q11"/>
  <sheetViews>
    <sheetView showGridLines="0" zoomScale="91" zoomScaleNormal="91" workbookViewId="0">
      <selection activeCell="K57" sqref="K57"/>
    </sheetView>
  </sheetViews>
  <sheetFormatPr baseColWidth="10" defaultColWidth="10.83203125" defaultRowHeight="16"/>
  <sheetData>
    <row r="1" ht="16" customFormat="1" customHeight="1" s="13">
      <c r="A1" s="43" t="n"/>
      <c r="B1" s="120" t="n"/>
    </row>
    <row r="2" customFormat="1" s="13"/>
    <row r="3" customFormat="1" s="13"/>
    <row r="11">
      <c r="B11" s="127" t="inlineStr">
        <is>
          <t>United States of America</t>
        </is>
      </c>
      <c r="L11" s="127" t="inlineStr">
        <is>
          <t>Canada</t>
        </is>
      </c>
    </row>
  </sheetData>
  <mergeCells count="3">
    <mergeCell ref="L11:Q11"/>
    <mergeCell ref="B1:H3"/>
    <mergeCell ref="B11:G11"/>
  </mergeCells>
  <pageMargins left="0.7" right="0.7" top="0.75" bottom="0.75" header="0.3" footer="0.3"/>
</worksheet>
</file>

<file path=xl/worksheets/sheet8.xml><?xml version="1.0" encoding="utf-8"?>
<worksheet xmlns="http://schemas.openxmlformats.org/spreadsheetml/2006/main">
  <sheetPr>
    <tabColor rgb="003B82F6"/>
    <outlinePr summaryBelow="1" summaryRight="1"/>
    <pageSetUpPr/>
  </sheetPr>
  <dimension ref="A1:H223"/>
  <sheetViews>
    <sheetView workbookViewId="0">
      <selection activeCell="A1" sqref="A1"/>
    </sheetView>
  </sheetViews>
  <sheetFormatPr baseColWidth="8" defaultRowHeight="15"/>
  <cols>
    <col width="12" customWidth="1" min="1" max="1"/>
    <col width="14" customWidth="1" min="2" max="2"/>
    <col width="12" customWidth="1" min="3" max="3"/>
    <col width="30" customWidth="1" min="4" max="4"/>
    <col width="14" customWidth="1" min="5" max="5"/>
    <col width="14" customWidth="1" min="6" max="6"/>
    <col width="10" customWidth="1" min="7" max="7"/>
    <col width="14" customWidth="1" min="8" max="8"/>
  </cols>
  <sheetData>
    <row r="1" ht="30" customHeight="1">
      <c r="A1" s="141" t="inlineStr">
        <is>
          <t>💰 TRANSACTION LEDGER</t>
        </is>
      </c>
    </row>
    <row r="2" ht="20" customHeight="1">
      <c r="A2" s="142" t="inlineStr">
        <is>
          <t>Zero-Based Budget Manager  ·  All transactions tracked below</t>
        </is>
      </c>
    </row>
    <row r="3" ht="20" customHeight="1">
      <c r="A3" s="143" t="inlineStr">
        <is>
          <t>TOTAL INCOME</t>
        </is>
      </c>
      <c r="B3" s="143" t="inlineStr">
        <is>
          <t>TOTAL EXPENSES</t>
        </is>
      </c>
      <c r="C3" s="143" t="inlineStr">
        <is>
          <t>TOTAL SAVINGS</t>
        </is>
      </c>
      <c r="E3" s="143" t="inlineStr">
        <is>
          <t>NET BALANCE</t>
        </is>
      </c>
      <c r="G3" s="143" t="inlineStr">
        <is>
          <t>FLAGGED TXs</t>
        </is>
      </c>
    </row>
    <row r="4" ht="28" customHeight="1">
      <c r="A4" s="144">
        <f>SUMIF(C8:C10000,"Income",E8:E10000)</f>
        <v/>
      </c>
      <c r="B4" s="144">
        <f>SUMIF(C8:C10000,"Expense",E8:E10000)</f>
        <v/>
      </c>
      <c r="C4" s="144">
        <f>SUMIF(C8:C10000,"Savings",E8:E10000)</f>
        <v/>
      </c>
      <c r="E4" s="144">
        <f>SUMIF(C8:C10000,"Income",E8:E10000)-SUMIF(C8:C10000,"Expense",E8:E10000)-SUMIF(C8:C10000,"Savings",E8:E10000)</f>
        <v/>
      </c>
      <c r="G4" s="144">
        <f>COUNTIF(G8:G10000,"Yes")</f>
        <v/>
      </c>
    </row>
    <row r="5" ht="8" customHeight="1"/>
    <row r="6" ht="24" customHeight="1">
      <c r="A6" s="145" t="inlineStr">
        <is>
          <t>Date</t>
        </is>
      </c>
      <c r="B6" s="145" t="inlineStr">
        <is>
          <t>Category</t>
        </is>
      </c>
      <c r="C6" s="145" t="inlineStr">
        <is>
          <t>Type</t>
        </is>
      </c>
      <c r="D6" s="145" t="inlineStr">
        <is>
          <t>Details / Notes</t>
        </is>
      </c>
      <c r="E6" s="145" t="inlineStr">
        <is>
          <t>Amount (USD)</t>
        </is>
      </c>
      <c r="F6" s="145" t="inlineStr">
        <is>
          <t>Running Balance</t>
        </is>
      </c>
      <c r="G6" s="145" t="inlineStr">
        <is>
          <t>Flagged?</t>
        </is>
      </c>
      <c r="H6" s="145" t="inlineStr">
        <is>
          <t>Effective Date</t>
        </is>
      </c>
    </row>
    <row r="8" ht="18" customHeight="1">
      <c r="A8" s="146" t="n"/>
      <c r="B8" s="147" t="n"/>
      <c r="C8" s="147" t="n"/>
      <c r="D8" s="147" t="n"/>
      <c r="E8" s="148" t="n"/>
      <c r="F8" s="148">
        <f>IFERROR(SUMIF($C$8:C8,"Income",$E$8:E8)-SUMIF($C$8:C8,"Expense",$E$8:E8)-SUMIF($C$8:C8,"Savings",$E$8:E8),"")</f>
        <v/>
      </c>
      <c r="G8" s="149" t="n"/>
      <c r="H8" s="146" t="n"/>
    </row>
    <row r="9" ht="18" customHeight="1">
      <c r="A9" s="150" t="n"/>
      <c r="B9" s="151" t="n"/>
      <c r="C9" s="151" t="n"/>
      <c r="D9" s="151" t="n"/>
      <c r="E9" s="152" t="n"/>
      <c r="F9" s="152">
        <f>IFERROR(SUMIF($C$8:C9,"Income",$E$8:E9)-SUMIF($C$8:C9,"Expense",$E$8:E9)-SUMIF($C$8:C9,"Savings",$E$8:E9),"")</f>
        <v/>
      </c>
      <c r="G9" s="153" t="n"/>
      <c r="H9" s="150" t="n"/>
    </row>
    <row r="10" ht="18" customHeight="1">
      <c r="A10" s="146" t="n"/>
      <c r="B10" s="147" t="n"/>
      <c r="C10" s="147" t="n"/>
      <c r="D10" s="147" t="n"/>
      <c r="E10" s="148" t="n"/>
      <c r="F10" s="148">
        <f>IFERROR(SUMIF($C$8:C10,"Income",$E$8:E10)-SUMIF($C$8:C10,"Expense",$E$8:E10)-SUMIF($C$8:C10,"Savings",$E$8:E10),"")</f>
        <v/>
      </c>
      <c r="G10" s="149" t="n"/>
      <c r="H10" s="146" t="n"/>
    </row>
    <row r="11" ht="18" customHeight="1">
      <c r="A11" s="150" t="n"/>
      <c r="B11" s="151" t="n"/>
      <c r="C11" s="151" t="n"/>
      <c r="D11" s="151" t="n"/>
      <c r="E11" s="152" t="n"/>
      <c r="F11" s="152">
        <f>IFERROR(SUMIF($C$8:C11,"Income",$E$8:E11)-SUMIF($C$8:C11,"Expense",$E$8:E11)-SUMIF($C$8:C11,"Savings",$E$8:E11),"")</f>
        <v/>
      </c>
      <c r="G11" s="153" t="n"/>
      <c r="H11" s="150" t="n"/>
    </row>
    <row r="12" ht="18" customHeight="1">
      <c r="A12" s="146" t="n"/>
      <c r="B12" s="147" t="n"/>
      <c r="C12" s="147" t="n"/>
      <c r="D12" s="147" t="n"/>
      <c r="E12" s="148" t="n"/>
      <c r="F12" s="148">
        <f>IFERROR(SUMIF($C$8:C12,"Income",$E$8:E12)-SUMIF($C$8:C12,"Expense",$E$8:E12)-SUMIF($C$8:C12,"Savings",$E$8:E12),"")</f>
        <v/>
      </c>
      <c r="G12" s="149" t="n"/>
      <c r="H12" s="146" t="n"/>
    </row>
    <row r="13" ht="18" customHeight="1">
      <c r="A13" s="150" t="n"/>
      <c r="B13" s="151" t="n"/>
      <c r="C13" s="151" t="n"/>
      <c r="D13" s="151" t="n"/>
      <c r="E13" s="152" t="n"/>
      <c r="F13" s="152">
        <f>IFERROR(SUMIF($C$8:C13,"Income",$E$8:E13)-SUMIF($C$8:C13,"Expense",$E$8:E13)-SUMIF($C$8:C13,"Savings",$E$8:E13),"")</f>
        <v/>
      </c>
      <c r="G13" s="153" t="n"/>
      <c r="H13" s="150" t="n"/>
    </row>
    <row r="14" ht="18" customHeight="1">
      <c r="A14" s="146" t="n"/>
      <c r="B14" s="147" t="n"/>
      <c r="C14" s="147" t="n"/>
      <c r="D14" s="147" t="n"/>
      <c r="E14" s="148" t="n"/>
      <c r="F14" s="148">
        <f>IFERROR(SUMIF($C$8:C14,"Income",$E$8:E14)-SUMIF($C$8:C14,"Expense",$E$8:E14)-SUMIF($C$8:C14,"Savings",$E$8:E14),"")</f>
        <v/>
      </c>
      <c r="G14" s="149" t="n"/>
      <c r="H14" s="146" t="n"/>
    </row>
    <row r="15" ht="18" customHeight="1">
      <c r="A15" s="150" t="n"/>
      <c r="B15" s="151" t="n"/>
      <c r="C15" s="151" t="n"/>
      <c r="D15" s="151" t="n"/>
      <c r="E15" s="152" t="n"/>
      <c r="F15" s="152">
        <f>IFERROR(SUMIF($C$8:C15,"Income",$E$8:E15)-SUMIF($C$8:C15,"Expense",$E$8:E15)-SUMIF($C$8:C15,"Savings",$E$8:E15),"")</f>
        <v/>
      </c>
      <c r="G15" s="153" t="n"/>
      <c r="H15" s="150" t="n"/>
    </row>
    <row r="16" ht="18" customHeight="1">
      <c r="A16" s="146" t="n"/>
      <c r="B16" s="147" t="n"/>
      <c r="C16" s="147" t="n"/>
      <c r="D16" s="147" t="n"/>
      <c r="E16" s="148" t="n"/>
      <c r="F16" s="148">
        <f>IFERROR(SUMIF($C$8:C16,"Income",$E$8:E16)-SUMIF($C$8:C16,"Expense",$E$8:E16)-SUMIF($C$8:C16,"Savings",$E$8:E16),"")</f>
        <v/>
      </c>
      <c r="G16" s="149" t="n"/>
      <c r="H16" s="146" t="n"/>
    </row>
    <row r="17" ht="18" customHeight="1">
      <c r="A17" s="150" t="n"/>
      <c r="B17" s="151" t="n"/>
      <c r="C17" s="151" t="n"/>
      <c r="D17" s="151" t="n"/>
      <c r="E17" s="152" t="n"/>
      <c r="F17" s="152">
        <f>IFERROR(SUMIF($C$8:C17,"Income",$E$8:E17)-SUMIF($C$8:C17,"Expense",$E$8:E17)-SUMIF($C$8:C17,"Savings",$E$8:E17),"")</f>
        <v/>
      </c>
      <c r="G17" s="153" t="n"/>
      <c r="H17" s="150" t="n"/>
    </row>
    <row r="18" ht="18" customHeight="1">
      <c r="A18" s="146" t="n"/>
      <c r="B18" s="147" t="n"/>
      <c r="C18" s="147" t="n"/>
      <c r="D18" s="147" t="n"/>
      <c r="E18" s="148" t="n"/>
      <c r="F18" s="148">
        <f>IFERROR(SUMIF($C$8:C18,"Income",$E$8:E18)-SUMIF($C$8:C18,"Expense",$E$8:E18)-SUMIF($C$8:C18,"Savings",$E$8:E18),"")</f>
        <v/>
      </c>
      <c r="G18" s="149" t="n"/>
      <c r="H18" s="146" t="n"/>
    </row>
    <row r="19" ht="18" customHeight="1">
      <c r="A19" s="150" t="n"/>
      <c r="B19" s="151" t="n"/>
      <c r="C19" s="151" t="n"/>
      <c r="D19" s="151" t="n"/>
      <c r="E19" s="152" t="n"/>
      <c r="F19" s="152">
        <f>IFERROR(SUMIF($C$8:C19,"Income",$E$8:E19)-SUMIF($C$8:C19,"Expense",$E$8:E19)-SUMIF($C$8:C19,"Savings",$E$8:E19),"")</f>
        <v/>
      </c>
      <c r="G19" s="153" t="n"/>
      <c r="H19" s="150" t="n"/>
    </row>
    <row r="20" ht="18" customHeight="1">
      <c r="A20" s="146" t="n"/>
      <c r="B20" s="147" t="n"/>
      <c r="C20" s="147" t="n"/>
      <c r="D20" s="147" t="n"/>
      <c r="E20" s="148" t="n"/>
      <c r="F20" s="148">
        <f>IFERROR(SUMIF($C$8:C20,"Income",$E$8:E20)-SUMIF($C$8:C20,"Expense",$E$8:E20)-SUMIF($C$8:C20,"Savings",$E$8:E20),"")</f>
        <v/>
      </c>
      <c r="G20" s="149" t="n"/>
      <c r="H20" s="146" t="n"/>
    </row>
    <row r="21" ht="18" customHeight="1">
      <c r="A21" s="150" t="n"/>
      <c r="B21" s="151" t="n"/>
      <c r="C21" s="151" t="n"/>
      <c r="D21" s="151" t="n"/>
      <c r="E21" s="152" t="n"/>
      <c r="F21" s="152">
        <f>IFERROR(SUMIF($C$8:C21,"Income",$E$8:E21)-SUMIF($C$8:C21,"Expense",$E$8:E21)-SUMIF($C$8:C21,"Savings",$E$8:E21),"")</f>
        <v/>
      </c>
      <c r="G21" s="153" t="n"/>
      <c r="H21" s="150" t="n"/>
    </row>
    <row r="22" ht="18" customHeight="1">
      <c r="A22" s="146" t="n"/>
      <c r="B22" s="147" t="n"/>
      <c r="C22" s="147" t="n"/>
      <c r="D22" s="147" t="n"/>
      <c r="E22" s="148" t="n"/>
      <c r="F22" s="148">
        <f>IFERROR(SUMIF($C$8:C22,"Income",$E$8:E22)-SUMIF($C$8:C22,"Expense",$E$8:E22)-SUMIF($C$8:C22,"Savings",$E$8:E22),"")</f>
        <v/>
      </c>
      <c r="G22" s="149" t="n"/>
      <c r="H22" s="146" t="n"/>
    </row>
    <row r="23" ht="18" customHeight="1">
      <c r="A23" s="150" t="n"/>
      <c r="B23" s="151" t="n"/>
      <c r="C23" s="151" t="n"/>
      <c r="D23" s="151" t="n"/>
      <c r="E23" s="152" t="n"/>
      <c r="F23" s="152">
        <f>IFERROR(SUMIF($C$8:C23,"Income",$E$8:E23)-SUMIF($C$8:C23,"Expense",$E$8:E23)-SUMIF($C$8:C23,"Savings",$E$8:E23),"")</f>
        <v/>
      </c>
      <c r="G23" s="153" t="n"/>
      <c r="H23" s="150" t="n"/>
    </row>
    <row r="24" ht="18" customHeight="1">
      <c r="A24" s="146" t="n"/>
      <c r="B24" s="147" t="n"/>
      <c r="C24" s="147" t="n"/>
      <c r="D24" s="147" t="n"/>
      <c r="E24" s="148" t="n"/>
      <c r="F24" s="148">
        <f>IFERROR(SUMIF($C$8:C24,"Income",$E$8:E24)-SUMIF($C$8:C24,"Expense",$E$8:E24)-SUMIF($C$8:C24,"Savings",$E$8:E24),"")</f>
        <v/>
      </c>
      <c r="G24" s="149" t="n"/>
      <c r="H24" s="146" t="n"/>
    </row>
    <row r="25" ht="18" customHeight="1">
      <c r="A25" s="150" t="n"/>
      <c r="B25" s="151" t="n"/>
      <c r="C25" s="151" t="n"/>
      <c r="D25" s="151" t="n"/>
      <c r="E25" s="152" t="n"/>
      <c r="F25" s="152">
        <f>IFERROR(SUMIF($C$8:C25,"Income",$E$8:E25)-SUMIF($C$8:C25,"Expense",$E$8:E25)-SUMIF($C$8:C25,"Savings",$E$8:E25),"")</f>
        <v/>
      </c>
      <c r="G25" s="153" t="n"/>
      <c r="H25" s="150" t="n"/>
    </row>
    <row r="26" ht="18" customHeight="1">
      <c r="A26" s="146" t="n"/>
      <c r="B26" s="147" t="n"/>
      <c r="C26" s="147" t="n"/>
      <c r="D26" s="147" t="n"/>
      <c r="E26" s="148" t="n"/>
      <c r="F26" s="148">
        <f>IFERROR(SUMIF($C$8:C26,"Income",$E$8:E26)-SUMIF($C$8:C26,"Expense",$E$8:E26)-SUMIF($C$8:C26,"Savings",$E$8:E26),"")</f>
        <v/>
      </c>
      <c r="G26" s="149" t="n"/>
      <c r="H26" s="146" t="n"/>
    </row>
    <row r="27" ht="18" customHeight="1">
      <c r="A27" s="150" t="n"/>
      <c r="B27" s="151" t="n"/>
      <c r="C27" s="151" t="n"/>
      <c r="D27" s="151" t="n"/>
      <c r="E27" s="152" t="n"/>
      <c r="F27" s="152">
        <f>IFERROR(SUMIF($C$8:C27,"Income",$E$8:E27)-SUMIF($C$8:C27,"Expense",$E$8:E27)-SUMIF($C$8:C27,"Savings",$E$8:E27),"")</f>
        <v/>
      </c>
      <c r="G27" s="153" t="n"/>
      <c r="H27" s="150" t="n"/>
    </row>
    <row r="28" ht="18" customHeight="1">
      <c r="A28" s="146" t="n"/>
      <c r="B28" s="147" t="n"/>
      <c r="C28" s="147" t="n"/>
      <c r="D28" s="147" t="n"/>
      <c r="E28" s="148" t="n"/>
      <c r="F28" s="148">
        <f>IFERROR(SUMIF($C$8:C28,"Income",$E$8:E28)-SUMIF($C$8:C28,"Expense",$E$8:E28)-SUMIF($C$8:C28,"Savings",$E$8:E28),"")</f>
        <v/>
      </c>
      <c r="G28" s="149" t="n"/>
      <c r="H28" s="146" t="n"/>
    </row>
    <row r="29" ht="18" customHeight="1">
      <c r="A29" s="150" t="n"/>
      <c r="B29" s="151" t="n"/>
      <c r="C29" s="151" t="n"/>
      <c r="D29" s="151" t="n"/>
      <c r="E29" s="152" t="n"/>
      <c r="F29" s="152">
        <f>IFERROR(SUMIF($C$8:C29,"Income",$E$8:E29)-SUMIF($C$8:C29,"Expense",$E$8:E29)-SUMIF($C$8:C29,"Savings",$E$8:E29),"")</f>
        <v/>
      </c>
      <c r="G29" s="153" t="n"/>
      <c r="H29" s="150" t="n"/>
    </row>
    <row r="30" ht="18" customHeight="1">
      <c r="A30" s="146" t="n"/>
      <c r="B30" s="147" t="n"/>
      <c r="C30" s="147" t="n"/>
      <c r="D30" s="147" t="n"/>
      <c r="E30" s="148" t="n"/>
      <c r="F30" s="148">
        <f>IFERROR(SUMIF($C$8:C30,"Income",$E$8:E30)-SUMIF($C$8:C30,"Expense",$E$8:E30)-SUMIF($C$8:C30,"Savings",$E$8:E30),"")</f>
        <v/>
      </c>
      <c r="G30" s="149" t="n"/>
      <c r="H30" s="146" t="n"/>
    </row>
    <row r="31" ht="18" customHeight="1">
      <c r="A31" s="150" t="n"/>
      <c r="B31" s="151" t="n"/>
      <c r="C31" s="151" t="n"/>
      <c r="D31" s="151" t="n"/>
      <c r="E31" s="152" t="n"/>
      <c r="F31" s="152">
        <f>IFERROR(SUMIF($C$8:C31,"Income",$E$8:E31)-SUMIF($C$8:C31,"Expense",$E$8:E31)-SUMIF($C$8:C31,"Savings",$E$8:E31),"")</f>
        <v/>
      </c>
      <c r="G31" s="153" t="n"/>
      <c r="H31" s="150" t="n"/>
    </row>
    <row r="32" ht="18" customHeight="1">
      <c r="A32" s="146" t="n"/>
      <c r="B32" s="147" t="n"/>
      <c r="C32" s="147" t="n"/>
      <c r="D32" s="147" t="n"/>
      <c r="E32" s="148" t="n"/>
      <c r="F32" s="148">
        <f>IFERROR(SUMIF($C$8:C32,"Income",$E$8:E32)-SUMIF($C$8:C32,"Expense",$E$8:E32)-SUMIF($C$8:C32,"Savings",$E$8:E32),"")</f>
        <v/>
      </c>
      <c r="G32" s="149" t="n"/>
      <c r="H32" s="146" t="n"/>
    </row>
    <row r="33" ht="18" customHeight="1">
      <c r="A33" s="150" t="n"/>
      <c r="B33" s="151" t="n"/>
      <c r="C33" s="151" t="n"/>
      <c r="D33" s="151" t="n"/>
      <c r="E33" s="152" t="n"/>
      <c r="F33" s="152">
        <f>IFERROR(SUMIF($C$8:C33,"Income",$E$8:E33)-SUMIF($C$8:C33,"Expense",$E$8:E33)-SUMIF($C$8:C33,"Savings",$E$8:E33),"")</f>
        <v/>
      </c>
      <c r="G33" s="153" t="n"/>
      <c r="H33" s="150" t="n"/>
    </row>
    <row r="34" ht="18" customHeight="1">
      <c r="A34" s="146" t="n"/>
      <c r="B34" s="147" t="n"/>
      <c r="C34" s="147" t="n"/>
      <c r="D34" s="147" t="n"/>
      <c r="E34" s="148" t="n"/>
      <c r="F34" s="148">
        <f>IFERROR(SUMIF($C$8:C34,"Income",$E$8:E34)-SUMIF($C$8:C34,"Expense",$E$8:E34)-SUMIF($C$8:C34,"Savings",$E$8:E34),"")</f>
        <v/>
      </c>
      <c r="G34" s="149" t="n"/>
      <c r="H34" s="146" t="n"/>
    </row>
    <row r="35" ht="18" customHeight="1">
      <c r="A35" s="150" t="n"/>
      <c r="B35" s="151" t="n"/>
      <c r="C35" s="151" t="n"/>
      <c r="D35" s="151" t="n"/>
      <c r="E35" s="152" t="n"/>
      <c r="F35" s="152">
        <f>IFERROR(SUMIF($C$8:C35,"Income",$E$8:E35)-SUMIF($C$8:C35,"Expense",$E$8:E35)-SUMIF($C$8:C35,"Savings",$E$8:E35),"")</f>
        <v/>
      </c>
      <c r="G35" s="153" t="n"/>
      <c r="H35" s="150" t="n"/>
    </row>
    <row r="36" ht="18" customHeight="1">
      <c r="A36" s="146" t="n"/>
      <c r="B36" s="147" t="n"/>
      <c r="C36" s="147" t="n"/>
      <c r="D36" s="147" t="n"/>
      <c r="E36" s="148" t="n"/>
      <c r="F36" s="148">
        <f>IFERROR(SUMIF($C$8:C36,"Income",$E$8:E36)-SUMIF($C$8:C36,"Expense",$E$8:E36)-SUMIF($C$8:C36,"Savings",$E$8:E36),"")</f>
        <v/>
      </c>
      <c r="G36" s="149" t="n"/>
      <c r="H36" s="146" t="n"/>
    </row>
    <row r="37" ht="18" customHeight="1">
      <c r="A37" s="150" t="n"/>
      <c r="B37" s="151" t="n"/>
      <c r="C37" s="151" t="n"/>
      <c r="D37" s="151" t="n"/>
      <c r="E37" s="152" t="n"/>
      <c r="F37" s="152">
        <f>IFERROR(SUMIF($C$8:C37,"Income",$E$8:E37)-SUMIF($C$8:C37,"Expense",$E$8:E37)-SUMIF($C$8:C37,"Savings",$E$8:E37),"")</f>
        <v/>
      </c>
      <c r="G37" s="153" t="n"/>
      <c r="H37" s="150" t="n"/>
    </row>
    <row r="38" ht="18" customHeight="1">
      <c r="A38" s="146" t="n"/>
      <c r="B38" s="147" t="n"/>
      <c r="C38" s="147" t="n"/>
      <c r="D38" s="147" t="n"/>
      <c r="E38" s="148" t="n"/>
      <c r="F38" s="148">
        <f>IFERROR(SUMIF($C$8:C38,"Income",$E$8:E38)-SUMIF($C$8:C38,"Expense",$E$8:E38)-SUMIF($C$8:C38,"Savings",$E$8:E38),"")</f>
        <v/>
      </c>
      <c r="G38" s="149" t="n"/>
      <c r="H38" s="146" t="n"/>
    </row>
    <row r="39" ht="18" customHeight="1">
      <c r="A39" s="150" t="n"/>
      <c r="B39" s="151" t="n"/>
      <c r="C39" s="151" t="n"/>
      <c r="D39" s="151" t="n"/>
      <c r="E39" s="152" t="n"/>
      <c r="F39" s="152">
        <f>IFERROR(SUMIF($C$8:C39,"Income",$E$8:E39)-SUMIF($C$8:C39,"Expense",$E$8:E39)-SUMIF($C$8:C39,"Savings",$E$8:E39),"")</f>
        <v/>
      </c>
      <c r="G39" s="153" t="n"/>
      <c r="H39" s="150" t="n"/>
    </row>
    <row r="40" ht="18" customHeight="1">
      <c r="A40" s="146" t="n"/>
      <c r="B40" s="147" t="n"/>
      <c r="C40" s="147" t="n"/>
      <c r="D40" s="147" t="n"/>
      <c r="E40" s="148" t="n"/>
      <c r="F40" s="148">
        <f>IFERROR(SUMIF($C$8:C40,"Income",$E$8:E40)-SUMIF($C$8:C40,"Expense",$E$8:E40)-SUMIF($C$8:C40,"Savings",$E$8:E40),"")</f>
        <v/>
      </c>
      <c r="G40" s="149" t="n"/>
      <c r="H40" s="146" t="n"/>
    </row>
    <row r="41" ht="18" customHeight="1">
      <c r="A41" s="150" t="n"/>
      <c r="B41" s="151" t="n"/>
      <c r="C41" s="151" t="n"/>
      <c r="D41" s="151" t="n"/>
      <c r="E41" s="152" t="n"/>
      <c r="F41" s="152">
        <f>IFERROR(SUMIF($C$8:C41,"Income",$E$8:E41)-SUMIF($C$8:C41,"Expense",$E$8:E41)-SUMIF($C$8:C41,"Savings",$E$8:E41),"")</f>
        <v/>
      </c>
      <c r="G41" s="153" t="n"/>
      <c r="H41" s="150" t="n"/>
    </row>
    <row r="42" ht="18" customHeight="1">
      <c r="A42" s="146" t="n"/>
      <c r="B42" s="147" t="n"/>
      <c r="C42" s="147" t="n"/>
      <c r="D42" s="147" t="n"/>
      <c r="E42" s="148" t="n"/>
      <c r="F42" s="148">
        <f>IFERROR(SUMIF($C$8:C42,"Income",$E$8:E42)-SUMIF($C$8:C42,"Expense",$E$8:E42)-SUMIF($C$8:C42,"Savings",$E$8:E42),"")</f>
        <v/>
      </c>
      <c r="G42" s="149" t="n"/>
      <c r="H42" s="146" t="n"/>
    </row>
    <row r="43" ht="18" customHeight="1">
      <c r="A43" s="150" t="n"/>
      <c r="B43" s="151" t="n"/>
      <c r="C43" s="151" t="n"/>
      <c r="D43" s="151" t="n"/>
      <c r="E43" s="152" t="n"/>
      <c r="F43" s="152">
        <f>IFERROR(SUMIF($C$8:C43,"Income",$E$8:E43)-SUMIF($C$8:C43,"Expense",$E$8:E43)-SUMIF($C$8:C43,"Savings",$E$8:E43),"")</f>
        <v/>
      </c>
      <c r="G43" s="153" t="n"/>
      <c r="H43" s="150" t="n"/>
    </row>
    <row r="44" ht="18" customHeight="1">
      <c r="A44" s="146" t="n"/>
      <c r="B44" s="147" t="n"/>
      <c r="C44" s="147" t="n"/>
      <c r="D44" s="147" t="n"/>
      <c r="E44" s="148" t="n"/>
      <c r="F44" s="148">
        <f>IFERROR(SUMIF($C$8:C44,"Income",$E$8:E44)-SUMIF($C$8:C44,"Expense",$E$8:E44)-SUMIF($C$8:C44,"Savings",$E$8:E44),"")</f>
        <v/>
      </c>
      <c r="G44" s="149" t="n"/>
      <c r="H44" s="146" t="n"/>
    </row>
    <row r="45" ht="18" customHeight="1">
      <c r="A45" s="150" t="n"/>
      <c r="B45" s="151" t="n"/>
      <c r="C45" s="151" t="n"/>
      <c r="D45" s="151" t="n"/>
      <c r="E45" s="152" t="n"/>
      <c r="F45" s="152">
        <f>IFERROR(SUMIF($C$8:C45,"Income",$E$8:E45)-SUMIF($C$8:C45,"Expense",$E$8:E45)-SUMIF($C$8:C45,"Savings",$E$8:E45),"")</f>
        <v/>
      </c>
      <c r="G45" s="153" t="n"/>
      <c r="H45" s="150" t="n"/>
    </row>
    <row r="46" ht="18" customHeight="1">
      <c r="A46" s="146" t="n"/>
      <c r="B46" s="147" t="n"/>
      <c r="C46" s="147" t="n"/>
      <c r="D46" s="147" t="n"/>
      <c r="E46" s="148" t="n"/>
      <c r="F46" s="148">
        <f>IFERROR(SUMIF($C$8:C46,"Income",$E$8:E46)-SUMIF($C$8:C46,"Expense",$E$8:E46)-SUMIF($C$8:C46,"Savings",$E$8:E46),"")</f>
        <v/>
      </c>
      <c r="G46" s="149" t="n"/>
      <c r="H46" s="146" t="n"/>
    </row>
    <row r="47" ht="18" customHeight="1">
      <c r="A47" s="150" t="n"/>
      <c r="B47" s="151" t="n"/>
      <c r="C47" s="151" t="n"/>
      <c r="D47" s="151" t="n"/>
      <c r="E47" s="152" t="n"/>
      <c r="F47" s="152">
        <f>IFERROR(SUMIF($C$8:C47,"Income",$E$8:E47)-SUMIF($C$8:C47,"Expense",$E$8:E47)-SUMIF($C$8:C47,"Savings",$E$8:E47),"")</f>
        <v/>
      </c>
      <c r="G47" s="153" t="n"/>
      <c r="H47" s="150" t="n"/>
    </row>
    <row r="48" ht="18" customHeight="1">
      <c r="A48" s="146" t="n"/>
      <c r="B48" s="147" t="n"/>
      <c r="C48" s="147" t="n"/>
      <c r="D48" s="147" t="n"/>
      <c r="E48" s="148" t="n"/>
      <c r="F48" s="148">
        <f>IFERROR(SUMIF($C$8:C48,"Income",$E$8:E48)-SUMIF($C$8:C48,"Expense",$E$8:E48)-SUMIF($C$8:C48,"Savings",$E$8:E48),"")</f>
        <v/>
      </c>
      <c r="G48" s="149" t="n"/>
      <c r="H48" s="146" t="n"/>
    </row>
    <row r="49" ht="18" customHeight="1">
      <c r="A49" s="150" t="n"/>
      <c r="B49" s="151" t="n"/>
      <c r="C49" s="151" t="n"/>
      <c r="D49" s="151" t="n"/>
      <c r="E49" s="152" t="n"/>
      <c r="F49" s="152">
        <f>IFERROR(SUMIF($C$8:C49,"Income",$E$8:E49)-SUMIF($C$8:C49,"Expense",$E$8:E49)-SUMIF($C$8:C49,"Savings",$E$8:E49),"")</f>
        <v/>
      </c>
      <c r="G49" s="153" t="n"/>
      <c r="H49" s="150" t="n"/>
    </row>
    <row r="50" ht="18" customHeight="1">
      <c r="A50" s="146" t="n"/>
      <c r="B50" s="147" t="n"/>
      <c r="C50" s="147" t="n"/>
      <c r="D50" s="147" t="n"/>
      <c r="E50" s="148" t="n"/>
      <c r="F50" s="148">
        <f>IFERROR(SUMIF($C$8:C50,"Income",$E$8:E50)-SUMIF($C$8:C50,"Expense",$E$8:E50)-SUMIF($C$8:C50,"Savings",$E$8:E50),"")</f>
        <v/>
      </c>
      <c r="G50" s="149" t="n"/>
      <c r="H50" s="146" t="n"/>
    </row>
    <row r="51" ht="18" customHeight="1">
      <c r="A51" s="150" t="n"/>
      <c r="B51" s="151" t="n"/>
      <c r="C51" s="151" t="n"/>
      <c r="D51" s="151" t="n"/>
      <c r="E51" s="152" t="n"/>
      <c r="F51" s="152">
        <f>IFERROR(SUMIF($C$8:C51,"Income",$E$8:E51)-SUMIF($C$8:C51,"Expense",$E$8:E51)-SUMIF($C$8:C51,"Savings",$E$8:E51),"")</f>
        <v/>
      </c>
      <c r="G51" s="153" t="n"/>
      <c r="H51" s="150" t="n"/>
    </row>
    <row r="52" ht="18" customHeight="1">
      <c r="A52" s="146" t="n"/>
      <c r="B52" s="147" t="n"/>
      <c r="C52" s="147" t="n"/>
      <c r="D52" s="147" t="n"/>
      <c r="E52" s="148" t="n"/>
      <c r="F52" s="148">
        <f>IFERROR(SUMIF($C$8:C52,"Income",$E$8:E52)-SUMIF($C$8:C52,"Expense",$E$8:E52)-SUMIF($C$8:C52,"Savings",$E$8:E52),"")</f>
        <v/>
      </c>
      <c r="G52" s="149" t="n"/>
      <c r="H52" s="146" t="n"/>
    </row>
    <row r="53" ht="18" customHeight="1">
      <c r="A53" s="150" t="n"/>
      <c r="B53" s="151" t="n"/>
      <c r="C53" s="151" t="n"/>
      <c r="D53" s="151" t="n"/>
      <c r="E53" s="152" t="n"/>
      <c r="F53" s="152">
        <f>IFERROR(SUMIF($C$8:C53,"Income",$E$8:E53)-SUMIF($C$8:C53,"Expense",$E$8:E53)-SUMIF($C$8:C53,"Savings",$E$8:E53),"")</f>
        <v/>
      </c>
      <c r="G53" s="153" t="n"/>
      <c r="H53" s="150" t="n"/>
    </row>
    <row r="54" ht="18" customHeight="1">
      <c r="A54" s="146" t="n"/>
      <c r="B54" s="147" t="n"/>
      <c r="C54" s="147" t="n"/>
      <c r="D54" s="147" t="n"/>
      <c r="E54" s="148" t="n"/>
      <c r="F54" s="148">
        <f>IFERROR(SUMIF($C$8:C54,"Income",$E$8:E54)-SUMIF($C$8:C54,"Expense",$E$8:E54)-SUMIF($C$8:C54,"Savings",$E$8:E54),"")</f>
        <v/>
      </c>
      <c r="G54" s="149" t="n"/>
      <c r="H54" s="146" t="n"/>
    </row>
    <row r="55" ht="18" customHeight="1">
      <c r="A55" s="150" t="n"/>
      <c r="B55" s="151" t="n"/>
      <c r="C55" s="151" t="n"/>
      <c r="D55" s="151" t="n"/>
      <c r="E55" s="152" t="n"/>
      <c r="F55" s="152">
        <f>IFERROR(SUMIF($C$8:C55,"Income",$E$8:E55)-SUMIF($C$8:C55,"Expense",$E$8:E55)-SUMIF($C$8:C55,"Savings",$E$8:E55),"")</f>
        <v/>
      </c>
      <c r="G55" s="153" t="n"/>
      <c r="H55" s="150" t="n"/>
    </row>
    <row r="56" ht="18" customHeight="1">
      <c r="A56" s="146" t="n"/>
      <c r="B56" s="147" t="n"/>
      <c r="C56" s="147" t="n"/>
      <c r="D56" s="147" t="n"/>
      <c r="E56" s="148" t="n"/>
      <c r="F56" s="148">
        <f>IFERROR(SUMIF($C$8:C56,"Income",$E$8:E56)-SUMIF($C$8:C56,"Expense",$E$8:E56)-SUMIF($C$8:C56,"Savings",$E$8:E56),"")</f>
        <v/>
      </c>
      <c r="G56" s="149" t="n"/>
      <c r="H56" s="146" t="n"/>
    </row>
    <row r="57" ht="18" customHeight="1">
      <c r="A57" s="150" t="n"/>
      <c r="B57" s="151" t="n"/>
      <c r="C57" s="151" t="n"/>
      <c r="D57" s="151" t="n"/>
      <c r="E57" s="152" t="n"/>
      <c r="F57" s="152">
        <f>IFERROR(SUMIF($C$8:C57,"Income",$E$8:E57)-SUMIF($C$8:C57,"Expense",$E$8:E57)-SUMIF($C$8:C57,"Savings",$E$8:E57),"")</f>
        <v/>
      </c>
      <c r="G57" s="153" t="n"/>
      <c r="H57" s="150" t="n"/>
    </row>
    <row r="58" ht="18" customHeight="1">
      <c r="A58" s="146" t="n"/>
      <c r="B58" s="147" t="n"/>
      <c r="C58" s="147" t="n"/>
      <c r="D58" s="147" t="n"/>
      <c r="E58" s="148" t="n"/>
      <c r="F58" s="148">
        <f>IFERROR(SUMIF($C$8:C58,"Income",$E$8:E58)-SUMIF($C$8:C58,"Expense",$E$8:E58)-SUMIF($C$8:C58,"Savings",$E$8:E58),"")</f>
        <v/>
      </c>
      <c r="G58" s="149" t="n"/>
      <c r="H58" s="146" t="n"/>
    </row>
    <row r="59" ht="18" customHeight="1">
      <c r="A59" s="150" t="n"/>
      <c r="B59" s="151" t="n"/>
      <c r="C59" s="151" t="n"/>
      <c r="D59" s="151" t="n"/>
      <c r="E59" s="152" t="n"/>
      <c r="F59" s="152">
        <f>IFERROR(SUMIF($C$8:C59,"Income",$E$8:E59)-SUMIF($C$8:C59,"Expense",$E$8:E59)-SUMIF($C$8:C59,"Savings",$E$8:E59),"")</f>
        <v/>
      </c>
      <c r="G59" s="153" t="n"/>
      <c r="H59" s="150" t="n"/>
    </row>
    <row r="60" ht="18" customHeight="1">
      <c r="A60" s="146" t="n"/>
      <c r="B60" s="147" t="n"/>
      <c r="C60" s="147" t="n"/>
      <c r="D60" s="147" t="n"/>
      <c r="E60" s="148" t="n"/>
      <c r="F60" s="148">
        <f>IFERROR(SUMIF($C$8:C60,"Income",$E$8:E60)-SUMIF($C$8:C60,"Expense",$E$8:E60)-SUMIF($C$8:C60,"Savings",$E$8:E60),"")</f>
        <v/>
      </c>
      <c r="G60" s="149" t="n"/>
      <c r="H60" s="146" t="n"/>
    </row>
    <row r="61" ht="18" customHeight="1">
      <c r="A61" s="150" t="n"/>
      <c r="B61" s="151" t="n"/>
      <c r="C61" s="151" t="n"/>
      <c r="D61" s="151" t="n"/>
      <c r="E61" s="152" t="n"/>
      <c r="F61" s="152">
        <f>IFERROR(SUMIF($C$8:C61,"Income",$E$8:E61)-SUMIF($C$8:C61,"Expense",$E$8:E61)-SUMIF($C$8:C61,"Savings",$E$8:E61),"")</f>
        <v/>
      </c>
      <c r="G61" s="153" t="n"/>
      <c r="H61" s="150" t="n"/>
    </row>
    <row r="62" ht="18" customHeight="1">
      <c r="A62" s="146" t="n"/>
      <c r="B62" s="147" t="n"/>
      <c r="C62" s="147" t="n"/>
      <c r="D62" s="147" t="n"/>
      <c r="E62" s="148" t="n"/>
      <c r="F62" s="148">
        <f>IFERROR(SUMIF($C$8:C62,"Income",$E$8:E62)-SUMIF($C$8:C62,"Expense",$E$8:E62)-SUMIF($C$8:C62,"Savings",$E$8:E62),"")</f>
        <v/>
      </c>
      <c r="G62" s="149" t="n"/>
      <c r="H62" s="146" t="n"/>
    </row>
    <row r="63" ht="18" customHeight="1">
      <c r="A63" s="150" t="n"/>
      <c r="B63" s="151" t="n"/>
      <c r="C63" s="151" t="n"/>
      <c r="D63" s="151" t="n"/>
      <c r="E63" s="152" t="n"/>
      <c r="F63" s="152">
        <f>IFERROR(SUMIF($C$8:C63,"Income",$E$8:E63)-SUMIF($C$8:C63,"Expense",$E$8:E63)-SUMIF($C$8:C63,"Savings",$E$8:E63),"")</f>
        <v/>
      </c>
      <c r="G63" s="153" t="n"/>
      <c r="H63" s="150" t="n"/>
    </row>
    <row r="64" ht="18" customHeight="1">
      <c r="A64" s="146" t="n"/>
      <c r="B64" s="147" t="n"/>
      <c r="C64" s="147" t="n"/>
      <c r="D64" s="147" t="n"/>
      <c r="E64" s="148" t="n"/>
      <c r="F64" s="148">
        <f>IFERROR(SUMIF($C$8:C64,"Income",$E$8:E64)-SUMIF($C$8:C64,"Expense",$E$8:E64)-SUMIF($C$8:C64,"Savings",$E$8:E64),"")</f>
        <v/>
      </c>
      <c r="G64" s="149" t="n"/>
      <c r="H64" s="146" t="n"/>
    </row>
    <row r="65" ht="18" customHeight="1">
      <c r="A65" s="150" t="n"/>
      <c r="B65" s="151" t="n"/>
      <c r="C65" s="151" t="n"/>
      <c r="D65" s="151" t="n"/>
      <c r="E65" s="152" t="n"/>
      <c r="F65" s="152">
        <f>IFERROR(SUMIF($C$8:C65,"Income",$E$8:E65)-SUMIF($C$8:C65,"Expense",$E$8:E65)-SUMIF($C$8:C65,"Savings",$E$8:E65),"")</f>
        <v/>
      </c>
      <c r="G65" s="153" t="n"/>
      <c r="H65" s="150" t="n"/>
    </row>
    <row r="66" ht="18" customHeight="1">
      <c r="A66" s="146" t="n"/>
      <c r="B66" s="147" t="n"/>
      <c r="C66" s="147" t="n"/>
      <c r="D66" s="147" t="n"/>
      <c r="E66" s="148" t="n"/>
      <c r="F66" s="148">
        <f>IFERROR(SUMIF($C$8:C66,"Income",$E$8:E66)-SUMIF($C$8:C66,"Expense",$E$8:E66)-SUMIF($C$8:C66,"Savings",$E$8:E66),"")</f>
        <v/>
      </c>
      <c r="G66" s="149" t="n"/>
      <c r="H66" s="146" t="n"/>
    </row>
    <row r="67" ht="18" customHeight="1">
      <c r="A67" s="150" t="n"/>
      <c r="B67" s="151" t="n"/>
      <c r="C67" s="151" t="n"/>
      <c r="D67" s="151" t="n"/>
      <c r="E67" s="152" t="n"/>
      <c r="F67" s="152">
        <f>IFERROR(SUMIF($C$8:C67,"Income",$E$8:E67)-SUMIF($C$8:C67,"Expense",$E$8:E67)-SUMIF($C$8:C67,"Savings",$E$8:E67),"")</f>
        <v/>
      </c>
      <c r="G67" s="153" t="n"/>
      <c r="H67" s="150" t="n"/>
    </row>
    <row r="68" ht="18" customHeight="1">
      <c r="A68" s="146" t="n"/>
      <c r="B68" s="147" t="n"/>
      <c r="C68" s="147" t="n"/>
      <c r="D68" s="147" t="n"/>
      <c r="E68" s="148" t="n"/>
      <c r="F68" s="148">
        <f>IFERROR(SUMIF($C$8:C68,"Income",$E$8:E68)-SUMIF($C$8:C68,"Expense",$E$8:E68)-SUMIF($C$8:C68,"Savings",$E$8:E68),"")</f>
        <v/>
      </c>
      <c r="G68" s="149" t="n"/>
      <c r="H68" s="146" t="n"/>
    </row>
    <row r="69" ht="18" customHeight="1">
      <c r="A69" s="150" t="n"/>
      <c r="B69" s="151" t="n"/>
      <c r="C69" s="151" t="n"/>
      <c r="D69" s="151" t="n"/>
      <c r="E69" s="152" t="n"/>
      <c r="F69" s="152">
        <f>IFERROR(SUMIF($C$8:C69,"Income",$E$8:E69)-SUMIF($C$8:C69,"Expense",$E$8:E69)-SUMIF($C$8:C69,"Savings",$E$8:E69),"")</f>
        <v/>
      </c>
      <c r="G69" s="153" t="n"/>
      <c r="H69" s="150" t="n"/>
    </row>
    <row r="70" ht="18" customHeight="1">
      <c r="A70" s="146" t="n"/>
      <c r="B70" s="147" t="n"/>
      <c r="C70" s="147" t="n"/>
      <c r="D70" s="147" t="n"/>
      <c r="E70" s="148" t="n"/>
      <c r="F70" s="148">
        <f>IFERROR(SUMIF($C$8:C70,"Income",$E$8:E70)-SUMIF($C$8:C70,"Expense",$E$8:E70)-SUMIF($C$8:C70,"Savings",$E$8:E70),"")</f>
        <v/>
      </c>
      <c r="G70" s="149" t="n"/>
      <c r="H70" s="146" t="n"/>
    </row>
    <row r="71" ht="18" customHeight="1">
      <c r="A71" s="150" t="n"/>
      <c r="B71" s="151" t="n"/>
      <c r="C71" s="151" t="n"/>
      <c r="D71" s="151" t="n"/>
      <c r="E71" s="152" t="n"/>
      <c r="F71" s="152">
        <f>IFERROR(SUMIF($C$8:C71,"Income",$E$8:E71)-SUMIF($C$8:C71,"Expense",$E$8:E71)-SUMIF($C$8:C71,"Savings",$E$8:E71),"")</f>
        <v/>
      </c>
      <c r="G71" s="153" t="n"/>
      <c r="H71" s="150" t="n"/>
    </row>
    <row r="72" ht="18" customHeight="1">
      <c r="A72" s="146" t="n"/>
      <c r="B72" s="147" t="n"/>
      <c r="C72" s="147" t="n"/>
      <c r="D72" s="147" t="n"/>
      <c r="E72" s="148" t="n"/>
      <c r="F72" s="148">
        <f>IFERROR(SUMIF($C$8:C72,"Income",$E$8:E72)-SUMIF($C$8:C72,"Expense",$E$8:E72)-SUMIF($C$8:C72,"Savings",$E$8:E72),"")</f>
        <v/>
      </c>
      <c r="G72" s="149" t="n"/>
      <c r="H72" s="146" t="n"/>
    </row>
    <row r="73" ht="18" customHeight="1">
      <c r="A73" s="150" t="n"/>
      <c r="B73" s="151" t="n"/>
      <c r="C73" s="151" t="n"/>
      <c r="D73" s="151" t="n"/>
      <c r="E73" s="152" t="n"/>
      <c r="F73" s="152">
        <f>IFERROR(SUMIF($C$8:C73,"Income",$E$8:E73)-SUMIF($C$8:C73,"Expense",$E$8:E73)-SUMIF($C$8:C73,"Savings",$E$8:E73),"")</f>
        <v/>
      </c>
      <c r="G73" s="153" t="n"/>
      <c r="H73" s="150" t="n"/>
    </row>
    <row r="74" ht="18" customHeight="1">
      <c r="A74" s="146" t="n"/>
      <c r="B74" s="147" t="n"/>
      <c r="C74" s="147" t="n"/>
      <c r="D74" s="147" t="n"/>
      <c r="E74" s="148" t="n"/>
      <c r="F74" s="148">
        <f>IFERROR(SUMIF($C$8:C74,"Income",$E$8:E74)-SUMIF($C$8:C74,"Expense",$E$8:E74)-SUMIF($C$8:C74,"Savings",$E$8:E74),"")</f>
        <v/>
      </c>
      <c r="G74" s="149" t="n"/>
      <c r="H74" s="146" t="n"/>
    </row>
    <row r="75" ht="18" customHeight="1">
      <c r="A75" s="150" t="n"/>
      <c r="B75" s="151" t="n"/>
      <c r="C75" s="151" t="n"/>
      <c r="D75" s="151" t="n"/>
      <c r="E75" s="152" t="n"/>
      <c r="F75" s="152">
        <f>IFERROR(SUMIF($C$8:C75,"Income",$E$8:E75)-SUMIF($C$8:C75,"Expense",$E$8:E75)-SUMIF($C$8:C75,"Savings",$E$8:E75),"")</f>
        <v/>
      </c>
      <c r="G75" s="153" t="n"/>
      <c r="H75" s="150" t="n"/>
    </row>
    <row r="76" ht="18" customHeight="1">
      <c r="A76" s="146" t="n"/>
      <c r="B76" s="147" t="n"/>
      <c r="C76" s="147" t="n"/>
      <c r="D76" s="147" t="n"/>
      <c r="E76" s="148" t="n"/>
      <c r="F76" s="148">
        <f>IFERROR(SUMIF($C$8:C76,"Income",$E$8:E76)-SUMIF($C$8:C76,"Expense",$E$8:E76)-SUMIF($C$8:C76,"Savings",$E$8:E76),"")</f>
        <v/>
      </c>
      <c r="G76" s="149" t="n"/>
      <c r="H76" s="146" t="n"/>
    </row>
    <row r="77" ht="18" customHeight="1">
      <c r="A77" s="150" t="n"/>
      <c r="B77" s="151" t="n"/>
      <c r="C77" s="151" t="n"/>
      <c r="D77" s="151" t="n"/>
      <c r="E77" s="152" t="n"/>
      <c r="F77" s="152">
        <f>IFERROR(SUMIF($C$8:C77,"Income",$E$8:E77)-SUMIF($C$8:C77,"Expense",$E$8:E77)-SUMIF($C$8:C77,"Savings",$E$8:E77),"")</f>
        <v/>
      </c>
      <c r="G77" s="153" t="n"/>
      <c r="H77" s="150" t="n"/>
    </row>
    <row r="78" ht="18" customHeight="1">
      <c r="A78" s="146" t="n"/>
      <c r="B78" s="147" t="n"/>
      <c r="C78" s="147" t="n"/>
      <c r="D78" s="147" t="n"/>
      <c r="E78" s="148" t="n"/>
      <c r="F78" s="148">
        <f>IFERROR(SUMIF($C$8:C78,"Income",$E$8:E78)-SUMIF($C$8:C78,"Expense",$E$8:E78)-SUMIF($C$8:C78,"Savings",$E$8:E78),"")</f>
        <v/>
      </c>
      <c r="G78" s="149" t="n"/>
      <c r="H78" s="146" t="n"/>
    </row>
    <row r="79" ht="18" customHeight="1">
      <c r="A79" s="150" t="n"/>
      <c r="B79" s="151" t="n"/>
      <c r="C79" s="151" t="n"/>
      <c r="D79" s="151" t="n"/>
      <c r="E79" s="152" t="n"/>
      <c r="F79" s="152">
        <f>IFERROR(SUMIF($C$8:C79,"Income",$E$8:E79)-SUMIF($C$8:C79,"Expense",$E$8:E79)-SUMIF($C$8:C79,"Savings",$E$8:E79),"")</f>
        <v/>
      </c>
      <c r="G79" s="153" t="n"/>
      <c r="H79" s="150" t="n"/>
    </row>
    <row r="80" ht="18" customHeight="1">
      <c r="A80" s="146" t="n"/>
      <c r="B80" s="147" t="n"/>
      <c r="C80" s="147" t="n"/>
      <c r="D80" s="147" t="n"/>
      <c r="E80" s="148" t="n"/>
      <c r="F80" s="148">
        <f>IFERROR(SUMIF($C$8:C80,"Income",$E$8:E80)-SUMIF($C$8:C80,"Expense",$E$8:E80)-SUMIF($C$8:C80,"Savings",$E$8:E80),"")</f>
        <v/>
      </c>
      <c r="G80" s="149" t="n"/>
      <c r="H80" s="146" t="n"/>
    </row>
    <row r="81" ht="18" customHeight="1">
      <c r="A81" s="150" t="n"/>
      <c r="B81" s="151" t="n"/>
      <c r="C81" s="151" t="n"/>
      <c r="D81" s="151" t="n"/>
      <c r="E81" s="152" t="n"/>
      <c r="F81" s="152">
        <f>IFERROR(SUMIF($C$8:C81,"Income",$E$8:E81)-SUMIF($C$8:C81,"Expense",$E$8:E81)-SUMIF($C$8:C81,"Savings",$E$8:E81),"")</f>
        <v/>
      </c>
      <c r="G81" s="153" t="n"/>
      <c r="H81" s="150" t="n"/>
    </row>
    <row r="82" ht="18" customHeight="1">
      <c r="A82" s="146" t="n"/>
      <c r="B82" s="147" t="n"/>
      <c r="C82" s="147" t="n"/>
      <c r="D82" s="147" t="n"/>
      <c r="E82" s="148" t="n"/>
      <c r="F82" s="148">
        <f>IFERROR(SUMIF($C$8:C82,"Income",$E$8:E82)-SUMIF($C$8:C82,"Expense",$E$8:E82)-SUMIF($C$8:C82,"Savings",$E$8:E82),"")</f>
        <v/>
      </c>
      <c r="G82" s="149" t="n"/>
      <c r="H82" s="146" t="n"/>
    </row>
    <row r="83" ht="18" customHeight="1">
      <c r="A83" s="150" t="n"/>
      <c r="B83" s="151" t="n"/>
      <c r="C83" s="151" t="n"/>
      <c r="D83" s="151" t="n"/>
      <c r="E83" s="152" t="n"/>
      <c r="F83" s="152">
        <f>IFERROR(SUMIF($C$8:C83,"Income",$E$8:E83)-SUMIF($C$8:C83,"Expense",$E$8:E83)-SUMIF($C$8:C83,"Savings",$E$8:E83),"")</f>
        <v/>
      </c>
      <c r="G83" s="153" t="n"/>
      <c r="H83" s="150" t="n"/>
    </row>
    <row r="84" ht="18" customHeight="1">
      <c r="A84" s="146" t="n"/>
      <c r="B84" s="147" t="n"/>
      <c r="C84" s="147" t="n"/>
      <c r="D84" s="147" t="n"/>
      <c r="E84" s="148" t="n"/>
      <c r="F84" s="148">
        <f>IFERROR(SUMIF($C$8:C84,"Income",$E$8:E84)-SUMIF($C$8:C84,"Expense",$E$8:E84)-SUMIF($C$8:C84,"Savings",$E$8:E84),"")</f>
        <v/>
      </c>
      <c r="G84" s="149" t="n"/>
      <c r="H84" s="146" t="n"/>
    </row>
    <row r="85" ht="18" customHeight="1">
      <c r="A85" s="150" t="n"/>
      <c r="B85" s="151" t="n"/>
      <c r="C85" s="151" t="n"/>
      <c r="D85" s="151" t="n"/>
      <c r="E85" s="152" t="n"/>
      <c r="F85" s="152">
        <f>IFERROR(SUMIF($C$8:C85,"Income",$E$8:E85)-SUMIF($C$8:C85,"Expense",$E$8:E85)-SUMIF($C$8:C85,"Savings",$E$8:E85),"")</f>
        <v/>
      </c>
      <c r="G85" s="153" t="n"/>
      <c r="H85" s="150" t="n"/>
    </row>
    <row r="86" ht="18" customHeight="1">
      <c r="A86" s="146" t="n"/>
      <c r="B86" s="147" t="n"/>
      <c r="C86" s="147" t="n"/>
      <c r="D86" s="147" t="n"/>
      <c r="E86" s="148" t="n"/>
      <c r="F86" s="148">
        <f>IFERROR(SUMIF($C$8:C86,"Income",$E$8:E86)-SUMIF($C$8:C86,"Expense",$E$8:E86)-SUMIF($C$8:C86,"Savings",$E$8:E86),"")</f>
        <v/>
      </c>
      <c r="G86" s="149" t="n"/>
      <c r="H86" s="146" t="n"/>
    </row>
    <row r="87" ht="18" customHeight="1">
      <c r="A87" s="150" t="n"/>
      <c r="B87" s="151" t="n"/>
      <c r="C87" s="151" t="n"/>
      <c r="D87" s="151" t="n"/>
      <c r="E87" s="152" t="n"/>
      <c r="F87" s="152">
        <f>IFERROR(SUMIF($C$8:C87,"Income",$E$8:E87)-SUMIF($C$8:C87,"Expense",$E$8:E87)-SUMIF($C$8:C87,"Savings",$E$8:E87),"")</f>
        <v/>
      </c>
      <c r="G87" s="153" t="n"/>
      <c r="H87" s="150" t="n"/>
    </row>
    <row r="88" ht="18" customHeight="1">
      <c r="A88" s="146" t="n"/>
      <c r="B88" s="147" t="n"/>
      <c r="C88" s="147" t="n"/>
      <c r="D88" s="147" t="n"/>
      <c r="E88" s="148" t="n"/>
      <c r="F88" s="148">
        <f>IFERROR(SUMIF($C$8:C88,"Income",$E$8:E88)-SUMIF($C$8:C88,"Expense",$E$8:E88)-SUMIF($C$8:C88,"Savings",$E$8:E88),"")</f>
        <v/>
      </c>
      <c r="G88" s="149" t="n"/>
      <c r="H88" s="146" t="n"/>
    </row>
    <row r="89" ht="18" customHeight="1">
      <c r="A89" s="150" t="n"/>
      <c r="B89" s="151" t="n"/>
      <c r="C89" s="151" t="n"/>
      <c r="D89" s="151" t="n"/>
      <c r="E89" s="152" t="n"/>
      <c r="F89" s="152">
        <f>IFERROR(SUMIF($C$8:C89,"Income",$E$8:E89)-SUMIF($C$8:C89,"Expense",$E$8:E89)-SUMIF($C$8:C89,"Savings",$E$8:E89),"")</f>
        <v/>
      </c>
      <c r="G89" s="153" t="n"/>
      <c r="H89" s="150" t="n"/>
    </row>
    <row r="90" ht="18" customHeight="1">
      <c r="A90" s="146" t="n"/>
      <c r="B90" s="147" t="n"/>
      <c r="C90" s="147" t="n"/>
      <c r="D90" s="147" t="n"/>
      <c r="E90" s="148" t="n"/>
      <c r="F90" s="148">
        <f>IFERROR(SUMIF($C$8:C90,"Income",$E$8:E90)-SUMIF($C$8:C90,"Expense",$E$8:E90)-SUMIF($C$8:C90,"Savings",$E$8:E90),"")</f>
        <v/>
      </c>
      <c r="G90" s="149" t="n"/>
      <c r="H90" s="146" t="n"/>
    </row>
    <row r="91" ht="18" customHeight="1">
      <c r="A91" s="150" t="n"/>
      <c r="B91" s="151" t="n"/>
      <c r="C91" s="151" t="n"/>
      <c r="D91" s="151" t="n"/>
      <c r="E91" s="152" t="n"/>
      <c r="F91" s="152">
        <f>IFERROR(SUMIF($C$8:C91,"Income",$E$8:E91)-SUMIF($C$8:C91,"Expense",$E$8:E91)-SUMIF($C$8:C91,"Savings",$E$8:E91),"")</f>
        <v/>
      </c>
      <c r="G91" s="153" t="n"/>
      <c r="H91" s="150" t="n"/>
    </row>
    <row r="92" ht="18" customHeight="1">
      <c r="A92" s="146" t="n"/>
      <c r="B92" s="147" t="n"/>
      <c r="C92" s="147" t="n"/>
      <c r="D92" s="147" t="n"/>
      <c r="E92" s="148" t="n"/>
      <c r="F92" s="148">
        <f>IFERROR(SUMIF($C$8:C92,"Income",$E$8:E92)-SUMIF($C$8:C92,"Expense",$E$8:E92)-SUMIF($C$8:C92,"Savings",$E$8:E92),"")</f>
        <v/>
      </c>
      <c r="G92" s="149" t="n"/>
      <c r="H92" s="146" t="n"/>
    </row>
    <row r="93" ht="18" customHeight="1">
      <c r="A93" s="150" t="n"/>
      <c r="B93" s="151" t="n"/>
      <c r="C93" s="151" t="n"/>
      <c r="D93" s="151" t="n"/>
      <c r="E93" s="152" t="n"/>
      <c r="F93" s="152">
        <f>IFERROR(SUMIF($C$8:C93,"Income",$E$8:E93)-SUMIF($C$8:C93,"Expense",$E$8:E93)-SUMIF($C$8:C93,"Savings",$E$8:E93),"")</f>
        <v/>
      </c>
      <c r="G93" s="153" t="n"/>
      <c r="H93" s="150" t="n"/>
    </row>
    <row r="94" ht="18" customHeight="1">
      <c r="A94" s="146" t="n"/>
      <c r="B94" s="147" t="n"/>
      <c r="C94" s="147" t="n"/>
      <c r="D94" s="147" t="n"/>
      <c r="E94" s="148" t="n"/>
      <c r="F94" s="148">
        <f>IFERROR(SUMIF($C$8:C94,"Income",$E$8:E94)-SUMIF($C$8:C94,"Expense",$E$8:E94)-SUMIF($C$8:C94,"Savings",$E$8:E94),"")</f>
        <v/>
      </c>
      <c r="G94" s="149" t="n"/>
      <c r="H94" s="146" t="n"/>
    </row>
    <row r="95" ht="18" customHeight="1">
      <c r="A95" s="150" t="n"/>
      <c r="B95" s="151" t="n"/>
      <c r="C95" s="151" t="n"/>
      <c r="D95" s="151" t="n"/>
      <c r="E95" s="152" t="n"/>
      <c r="F95" s="152">
        <f>IFERROR(SUMIF($C$8:C95,"Income",$E$8:E95)-SUMIF($C$8:C95,"Expense",$E$8:E95)-SUMIF($C$8:C95,"Savings",$E$8:E95),"")</f>
        <v/>
      </c>
      <c r="G95" s="153" t="n"/>
      <c r="H95" s="150" t="n"/>
    </row>
    <row r="96" ht="18" customHeight="1">
      <c r="A96" s="146" t="n"/>
      <c r="B96" s="147" t="n"/>
      <c r="C96" s="147" t="n"/>
      <c r="D96" s="147" t="n"/>
      <c r="E96" s="148" t="n"/>
      <c r="F96" s="148">
        <f>IFERROR(SUMIF($C$8:C96,"Income",$E$8:E96)-SUMIF($C$8:C96,"Expense",$E$8:E96)-SUMIF($C$8:C96,"Savings",$E$8:E96),"")</f>
        <v/>
      </c>
      <c r="G96" s="149" t="n"/>
      <c r="H96" s="146" t="n"/>
    </row>
    <row r="97" ht="18" customHeight="1">
      <c r="A97" s="150" t="n"/>
      <c r="B97" s="151" t="n"/>
      <c r="C97" s="151" t="n"/>
      <c r="D97" s="151" t="n"/>
      <c r="E97" s="152" t="n"/>
      <c r="F97" s="152">
        <f>IFERROR(SUMIF($C$8:C97,"Income",$E$8:E97)-SUMIF($C$8:C97,"Expense",$E$8:E97)-SUMIF($C$8:C97,"Savings",$E$8:E97),"")</f>
        <v/>
      </c>
      <c r="G97" s="153" t="n"/>
      <c r="H97" s="150" t="n"/>
    </row>
    <row r="98" ht="18" customHeight="1">
      <c r="A98" s="146" t="n"/>
      <c r="B98" s="147" t="n"/>
      <c r="C98" s="147" t="n"/>
      <c r="D98" s="147" t="n"/>
      <c r="E98" s="148" t="n"/>
      <c r="F98" s="148">
        <f>IFERROR(SUMIF($C$8:C98,"Income",$E$8:E98)-SUMIF($C$8:C98,"Expense",$E$8:E98)-SUMIF($C$8:C98,"Savings",$E$8:E98),"")</f>
        <v/>
      </c>
      <c r="G98" s="149" t="n"/>
      <c r="H98" s="146" t="n"/>
    </row>
    <row r="99" ht="18" customHeight="1">
      <c r="A99" s="150" t="n"/>
      <c r="B99" s="151" t="n"/>
      <c r="C99" s="151" t="n"/>
      <c r="D99" s="151" t="n"/>
      <c r="E99" s="152" t="n"/>
      <c r="F99" s="152">
        <f>IFERROR(SUMIF($C$8:C99,"Income",$E$8:E99)-SUMIF($C$8:C99,"Expense",$E$8:E99)-SUMIF($C$8:C99,"Savings",$E$8:E99),"")</f>
        <v/>
      </c>
      <c r="G99" s="153" t="n"/>
      <c r="H99" s="150" t="n"/>
    </row>
    <row r="100" ht="18" customHeight="1">
      <c r="A100" s="146" t="n"/>
      <c r="B100" s="147" t="n"/>
      <c r="C100" s="147" t="n"/>
      <c r="D100" s="147" t="n"/>
      <c r="E100" s="148" t="n"/>
      <c r="F100" s="148">
        <f>IFERROR(SUMIF($C$8:C100,"Income",$E$8:E100)-SUMIF($C$8:C100,"Expense",$E$8:E100)-SUMIF($C$8:C100,"Savings",$E$8:E100),"")</f>
        <v/>
      </c>
      <c r="G100" s="149" t="n"/>
      <c r="H100" s="146" t="n"/>
    </row>
    <row r="101" ht="18" customHeight="1">
      <c r="A101" s="150" t="n"/>
      <c r="B101" s="151" t="n"/>
      <c r="C101" s="151" t="n"/>
      <c r="D101" s="151" t="n"/>
      <c r="E101" s="152" t="n"/>
      <c r="F101" s="152">
        <f>IFERROR(SUMIF($C$8:C101,"Income",$E$8:E101)-SUMIF($C$8:C101,"Expense",$E$8:E101)-SUMIF($C$8:C101,"Savings",$E$8:E101),"")</f>
        <v/>
      </c>
      <c r="G101" s="153" t="n"/>
      <c r="H101" s="150" t="n"/>
    </row>
    <row r="102" ht="18" customHeight="1">
      <c r="A102" s="146" t="n"/>
      <c r="B102" s="147" t="n"/>
      <c r="C102" s="147" t="n"/>
      <c r="D102" s="147" t="n"/>
      <c r="E102" s="148" t="n"/>
      <c r="F102" s="148">
        <f>IFERROR(SUMIF($C$8:C102,"Income",$E$8:E102)-SUMIF($C$8:C102,"Expense",$E$8:E102)-SUMIF($C$8:C102,"Savings",$E$8:E102),"")</f>
        <v/>
      </c>
      <c r="G102" s="149" t="n"/>
      <c r="H102" s="146" t="n"/>
    </row>
    <row r="103" ht="18" customHeight="1">
      <c r="A103" s="150" t="n"/>
      <c r="B103" s="151" t="n"/>
      <c r="C103" s="151" t="n"/>
      <c r="D103" s="151" t="n"/>
      <c r="E103" s="152" t="n"/>
      <c r="F103" s="152">
        <f>IFERROR(SUMIF($C$8:C103,"Income",$E$8:E103)-SUMIF($C$8:C103,"Expense",$E$8:E103)-SUMIF($C$8:C103,"Savings",$E$8:E103),"")</f>
        <v/>
      </c>
      <c r="G103" s="153" t="n"/>
      <c r="H103" s="150" t="n"/>
    </row>
    <row r="104" ht="18" customHeight="1">
      <c r="A104" s="146" t="n"/>
      <c r="B104" s="147" t="n"/>
      <c r="C104" s="147" t="n"/>
      <c r="D104" s="147" t="n"/>
      <c r="E104" s="148" t="n"/>
      <c r="F104" s="148">
        <f>IFERROR(SUMIF($C$8:C104,"Income",$E$8:E104)-SUMIF($C$8:C104,"Expense",$E$8:E104)-SUMIF($C$8:C104,"Savings",$E$8:E104),"")</f>
        <v/>
      </c>
      <c r="G104" s="149" t="n"/>
      <c r="H104" s="146" t="n"/>
    </row>
    <row r="105" ht="18" customHeight="1">
      <c r="A105" s="150" t="n"/>
      <c r="B105" s="151" t="n"/>
      <c r="C105" s="151" t="n"/>
      <c r="D105" s="151" t="n"/>
      <c r="E105" s="152" t="n"/>
      <c r="F105" s="152">
        <f>IFERROR(SUMIF($C$8:C105,"Income",$E$8:E105)-SUMIF($C$8:C105,"Expense",$E$8:E105)-SUMIF($C$8:C105,"Savings",$E$8:E105),"")</f>
        <v/>
      </c>
      <c r="G105" s="153" t="n"/>
      <c r="H105" s="150" t="n"/>
    </row>
    <row r="106" ht="18" customHeight="1">
      <c r="A106" s="146" t="n"/>
      <c r="B106" s="147" t="n"/>
      <c r="C106" s="147" t="n"/>
      <c r="D106" s="147" t="n"/>
      <c r="E106" s="148" t="n"/>
      <c r="F106" s="148">
        <f>IFERROR(SUMIF($C$8:C106,"Income",$E$8:E106)-SUMIF($C$8:C106,"Expense",$E$8:E106)-SUMIF($C$8:C106,"Savings",$E$8:E106),"")</f>
        <v/>
      </c>
      <c r="G106" s="149" t="n"/>
      <c r="H106" s="146" t="n"/>
    </row>
    <row r="107" ht="18" customHeight="1">
      <c r="A107" s="150" t="n"/>
      <c r="B107" s="151" t="n"/>
      <c r="C107" s="151" t="n"/>
      <c r="D107" s="151" t="n"/>
      <c r="E107" s="152" t="n"/>
      <c r="F107" s="152">
        <f>IFERROR(SUMIF($C$8:C107,"Income",$E$8:E107)-SUMIF($C$8:C107,"Expense",$E$8:E107)-SUMIF($C$8:C107,"Savings",$E$8:E107),"")</f>
        <v/>
      </c>
      <c r="G107" s="153" t="n"/>
      <c r="H107" s="150" t="n"/>
    </row>
    <row r="108" ht="18" customHeight="1">
      <c r="A108" s="146" t="n"/>
      <c r="B108" s="147" t="n"/>
      <c r="C108" s="147" t="n"/>
      <c r="D108" s="147" t="n"/>
      <c r="E108" s="148" t="n"/>
      <c r="F108" s="148">
        <f>IFERROR(SUMIF($C$8:C108,"Income",$E$8:E108)-SUMIF($C$8:C108,"Expense",$E$8:E108)-SUMIF($C$8:C108,"Savings",$E$8:E108),"")</f>
        <v/>
      </c>
      <c r="G108" s="149" t="n"/>
      <c r="H108" s="146" t="n"/>
    </row>
    <row r="109" ht="18" customHeight="1">
      <c r="A109" s="150" t="n"/>
      <c r="B109" s="151" t="n"/>
      <c r="C109" s="151" t="n"/>
      <c r="D109" s="151" t="n"/>
      <c r="E109" s="152" t="n"/>
      <c r="F109" s="152">
        <f>IFERROR(SUMIF($C$8:C109,"Income",$E$8:E109)-SUMIF($C$8:C109,"Expense",$E$8:E109)-SUMIF($C$8:C109,"Savings",$E$8:E109),"")</f>
        <v/>
      </c>
      <c r="G109" s="153" t="n"/>
      <c r="H109" s="150" t="n"/>
    </row>
    <row r="110" ht="18" customHeight="1">
      <c r="A110" s="146" t="n"/>
      <c r="B110" s="147" t="n"/>
      <c r="C110" s="147" t="n"/>
      <c r="D110" s="147" t="n"/>
      <c r="E110" s="148" t="n"/>
      <c r="F110" s="148">
        <f>IFERROR(SUMIF($C$8:C110,"Income",$E$8:E110)-SUMIF($C$8:C110,"Expense",$E$8:E110)-SUMIF($C$8:C110,"Savings",$E$8:E110),"")</f>
        <v/>
      </c>
      <c r="G110" s="149" t="n"/>
      <c r="H110" s="146" t="n"/>
    </row>
    <row r="111" ht="18" customHeight="1">
      <c r="A111" s="150" t="n"/>
      <c r="B111" s="151" t="n"/>
      <c r="C111" s="151" t="n"/>
      <c r="D111" s="151" t="n"/>
      <c r="E111" s="152" t="n"/>
      <c r="F111" s="152">
        <f>IFERROR(SUMIF($C$8:C111,"Income",$E$8:E111)-SUMIF($C$8:C111,"Expense",$E$8:E111)-SUMIF($C$8:C111,"Savings",$E$8:E111),"")</f>
        <v/>
      </c>
      <c r="G111" s="153" t="n"/>
      <c r="H111" s="150" t="n"/>
    </row>
    <row r="112" ht="18" customHeight="1">
      <c r="A112" s="146" t="n"/>
      <c r="B112" s="147" t="n"/>
      <c r="C112" s="147" t="n"/>
      <c r="D112" s="147" t="n"/>
      <c r="E112" s="148" t="n"/>
      <c r="F112" s="148">
        <f>IFERROR(SUMIF($C$8:C112,"Income",$E$8:E112)-SUMIF($C$8:C112,"Expense",$E$8:E112)-SUMIF($C$8:C112,"Savings",$E$8:E112),"")</f>
        <v/>
      </c>
      <c r="G112" s="149" t="n"/>
      <c r="H112" s="146" t="n"/>
    </row>
    <row r="113" ht="18" customHeight="1">
      <c r="A113" s="150" t="n"/>
      <c r="B113" s="151" t="n"/>
      <c r="C113" s="151" t="n"/>
      <c r="D113" s="151" t="n"/>
      <c r="E113" s="152" t="n"/>
      <c r="F113" s="152">
        <f>IFERROR(SUMIF($C$8:C113,"Income",$E$8:E113)-SUMIF($C$8:C113,"Expense",$E$8:E113)-SUMIF($C$8:C113,"Savings",$E$8:E113),"")</f>
        <v/>
      </c>
      <c r="G113" s="153" t="n"/>
      <c r="H113" s="150" t="n"/>
    </row>
    <row r="114" ht="18" customHeight="1">
      <c r="A114" s="146" t="n"/>
      <c r="B114" s="147" t="n"/>
      <c r="C114" s="147" t="n"/>
      <c r="D114" s="147" t="n"/>
      <c r="E114" s="148" t="n"/>
      <c r="F114" s="148">
        <f>IFERROR(SUMIF($C$8:C114,"Income",$E$8:E114)-SUMIF($C$8:C114,"Expense",$E$8:E114)-SUMIF($C$8:C114,"Savings",$E$8:E114),"")</f>
        <v/>
      </c>
      <c r="G114" s="149" t="n"/>
      <c r="H114" s="146" t="n"/>
    </row>
    <row r="115" ht="18" customHeight="1">
      <c r="A115" s="150" t="n"/>
      <c r="B115" s="151" t="n"/>
      <c r="C115" s="151" t="n"/>
      <c r="D115" s="151" t="n"/>
      <c r="E115" s="152" t="n"/>
      <c r="F115" s="152">
        <f>IFERROR(SUMIF($C$8:C115,"Income",$E$8:E115)-SUMIF($C$8:C115,"Expense",$E$8:E115)-SUMIF($C$8:C115,"Savings",$E$8:E115),"")</f>
        <v/>
      </c>
      <c r="G115" s="153" t="n"/>
      <c r="H115" s="150" t="n"/>
    </row>
    <row r="116" ht="18" customHeight="1">
      <c r="A116" s="146" t="n"/>
      <c r="B116" s="147" t="n"/>
      <c r="C116" s="147" t="n"/>
      <c r="D116" s="147" t="n"/>
      <c r="E116" s="148" t="n"/>
      <c r="F116" s="148">
        <f>IFERROR(SUMIF($C$8:C116,"Income",$E$8:E116)-SUMIF($C$8:C116,"Expense",$E$8:E116)-SUMIF($C$8:C116,"Savings",$E$8:E116),"")</f>
        <v/>
      </c>
      <c r="G116" s="149" t="n"/>
      <c r="H116" s="146" t="n"/>
    </row>
    <row r="117" ht="18" customHeight="1">
      <c r="A117" s="150" t="n"/>
      <c r="B117" s="151" t="n"/>
      <c r="C117" s="151" t="n"/>
      <c r="D117" s="151" t="n"/>
      <c r="E117" s="152" t="n"/>
      <c r="F117" s="152">
        <f>IFERROR(SUMIF($C$8:C117,"Income",$E$8:E117)-SUMIF($C$8:C117,"Expense",$E$8:E117)-SUMIF($C$8:C117,"Savings",$E$8:E117),"")</f>
        <v/>
      </c>
      <c r="G117" s="153" t="n"/>
      <c r="H117" s="150" t="n"/>
    </row>
    <row r="118" ht="18" customHeight="1">
      <c r="A118" s="146" t="n"/>
      <c r="B118" s="147" t="n"/>
      <c r="C118" s="147" t="n"/>
      <c r="D118" s="147" t="n"/>
      <c r="E118" s="148" t="n"/>
      <c r="F118" s="148">
        <f>IFERROR(SUMIF($C$8:C118,"Income",$E$8:E118)-SUMIF($C$8:C118,"Expense",$E$8:E118)-SUMIF($C$8:C118,"Savings",$E$8:E118),"")</f>
        <v/>
      </c>
      <c r="G118" s="149" t="n"/>
      <c r="H118" s="146" t="n"/>
    </row>
    <row r="119" ht="18" customHeight="1">
      <c r="A119" s="150" t="n"/>
      <c r="B119" s="151" t="n"/>
      <c r="C119" s="151" t="n"/>
      <c r="D119" s="151" t="n"/>
      <c r="E119" s="152" t="n"/>
      <c r="F119" s="152">
        <f>IFERROR(SUMIF($C$8:C119,"Income",$E$8:E119)-SUMIF($C$8:C119,"Expense",$E$8:E119)-SUMIF($C$8:C119,"Savings",$E$8:E119),"")</f>
        <v/>
      </c>
      <c r="G119" s="153" t="n"/>
      <c r="H119" s="150" t="n"/>
    </row>
    <row r="120" ht="18" customHeight="1">
      <c r="A120" s="146" t="n"/>
      <c r="B120" s="147" t="n"/>
      <c r="C120" s="147" t="n"/>
      <c r="D120" s="147" t="n"/>
      <c r="E120" s="148" t="n"/>
      <c r="F120" s="148">
        <f>IFERROR(SUMIF($C$8:C120,"Income",$E$8:E120)-SUMIF($C$8:C120,"Expense",$E$8:E120)-SUMIF($C$8:C120,"Savings",$E$8:E120),"")</f>
        <v/>
      </c>
      <c r="G120" s="149" t="n"/>
      <c r="H120" s="146" t="n"/>
    </row>
    <row r="121" ht="18" customHeight="1">
      <c r="A121" s="150" t="n"/>
      <c r="B121" s="151" t="n"/>
      <c r="C121" s="151" t="n"/>
      <c r="D121" s="151" t="n"/>
      <c r="E121" s="152" t="n"/>
      <c r="F121" s="152">
        <f>IFERROR(SUMIF($C$8:C121,"Income",$E$8:E121)-SUMIF($C$8:C121,"Expense",$E$8:E121)-SUMIF($C$8:C121,"Savings",$E$8:E121),"")</f>
        <v/>
      </c>
      <c r="G121" s="153" t="n"/>
      <c r="H121" s="150" t="n"/>
    </row>
    <row r="122" ht="18" customHeight="1">
      <c r="A122" s="146" t="n"/>
      <c r="B122" s="147" t="n"/>
      <c r="C122" s="147" t="n"/>
      <c r="D122" s="147" t="n"/>
      <c r="E122" s="148" t="n"/>
      <c r="F122" s="148">
        <f>IFERROR(SUMIF($C$8:C122,"Income",$E$8:E122)-SUMIF($C$8:C122,"Expense",$E$8:E122)-SUMIF($C$8:C122,"Savings",$E$8:E122),"")</f>
        <v/>
      </c>
      <c r="G122" s="149" t="n"/>
      <c r="H122" s="146" t="n"/>
    </row>
    <row r="123" ht="18" customHeight="1">
      <c r="A123" s="150" t="n"/>
      <c r="B123" s="151" t="n"/>
      <c r="C123" s="151" t="n"/>
      <c r="D123" s="151" t="n"/>
      <c r="E123" s="152" t="n"/>
      <c r="F123" s="152">
        <f>IFERROR(SUMIF($C$8:C123,"Income",$E$8:E123)-SUMIF($C$8:C123,"Expense",$E$8:E123)-SUMIF($C$8:C123,"Savings",$E$8:E123),"")</f>
        <v/>
      </c>
      <c r="G123" s="153" t="n"/>
      <c r="H123" s="150" t="n"/>
    </row>
    <row r="124" ht="18" customHeight="1">
      <c r="A124" s="146" t="n"/>
      <c r="B124" s="147" t="n"/>
      <c r="C124" s="147" t="n"/>
      <c r="D124" s="147" t="n"/>
      <c r="E124" s="148" t="n"/>
      <c r="F124" s="148">
        <f>IFERROR(SUMIF($C$8:C124,"Income",$E$8:E124)-SUMIF($C$8:C124,"Expense",$E$8:E124)-SUMIF($C$8:C124,"Savings",$E$8:E124),"")</f>
        <v/>
      </c>
      <c r="G124" s="149" t="n"/>
      <c r="H124" s="146" t="n"/>
    </row>
    <row r="125" ht="18" customHeight="1">
      <c r="A125" s="150" t="n"/>
      <c r="B125" s="151" t="n"/>
      <c r="C125" s="151" t="n"/>
      <c r="D125" s="151" t="n"/>
      <c r="E125" s="152" t="n"/>
      <c r="F125" s="152">
        <f>IFERROR(SUMIF($C$8:C125,"Income",$E$8:E125)-SUMIF($C$8:C125,"Expense",$E$8:E125)-SUMIF($C$8:C125,"Savings",$E$8:E125),"")</f>
        <v/>
      </c>
      <c r="G125" s="153" t="n"/>
      <c r="H125" s="150" t="n"/>
    </row>
    <row r="126" ht="18" customHeight="1">
      <c r="A126" s="146" t="n"/>
      <c r="B126" s="147" t="n"/>
      <c r="C126" s="147" t="n"/>
      <c r="D126" s="147" t="n"/>
      <c r="E126" s="148" t="n"/>
      <c r="F126" s="148">
        <f>IFERROR(SUMIF($C$8:C126,"Income",$E$8:E126)-SUMIF($C$8:C126,"Expense",$E$8:E126)-SUMIF($C$8:C126,"Savings",$E$8:E126),"")</f>
        <v/>
      </c>
      <c r="G126" s="149" t="n"/>
      <c r="H126" s="146" t="n"/>
    </row>
    <row r="127" ht="18" customHeight="1">
      <c r="A127" s="150" t="n"/>
      <c r="B127" s="151" t="n"/>
      <c r="C127" s="151" t="n"/>
      <c r="D127" s="151" t="n"/>
      <c r="E127" s="152" t="n"/>
      <c r="F127" s="152">
        <f>IFERROR(SUMIF($C$8:C127,"Income",$E$8:E127)-SUMIF($C$8:C127,"Expense",$E$8:E127)-SUMIF($C$8:C127,"Savings",$E$8:E127),"")</f>
        <v/>
      </c>
      <c r="G127" s="153" t="n"/>
      <c r="H127" s="150" t="n"/>
    </row>
    <row r="128" ht="18" customHeight="1">
      <c r="A128" s="146" t="n"/>
      <c r="B128" s="147" t="n"/>
      <c r="C128" s="147" t="n"/>
      <c r="D128" s="147" t="n"/>
      <c r="E128" s="148" t="n"/>
      <c r="F128" s="148">
        <f>IFERROR(SUMIF($C$8:C128,"Income",$E$8:E128)-SUMIF($C$8:C128,"Expense",$E$8:E128)-SUMIF($C$8:C128,"Savings",$E$8:E128),"")</f>
        <v/>
      </c>
      <c r="G128" s="149" t="n"/>
      <c r="H128" s="146" t="n"/>
    </row>
    <row r="129" ht="18" customHeight="1">
      <c r="A129" s="150" t="n"/>
      <c r="B129" s="151" t="n"/>
      <c r="C129" s="151" t="n"/>
      <c r="D129" s="151" t="n"/>
      <c r="E129" s="152" t="n"/>
      <c r="F129" s="152">
        <f>IFERROR(SUMIF($C$8:C129,"Income",$E$8:E129)-SUMIF($C$8:C129,"Expense",$E$8:E129)-SUMIF($C$8:C129,"Savings",$E$8:E129),"")</f>
        <v/>
      </c>
      <c r="G129" s="153" t="n"/>
      <c r="H129" s="150" t="n"/>
    </row>
    <row r="130" ht="18" customHeight="1">
      <c r="A130" s="146" t="n"/>
      <c r="B130" s="147" t="n"/>
      <c r="C130" s="147" t="n"/>
      <c r="D130" s="147" t="n"/>
      <c r="E130" s="148" t="n"/>
      <c r="F130" s="148">
        <f>IFERROR(SUMIF($C$8:C130,"Income",$E$8:E130)-SUMIF($C$8:C130,"Expense",$E$8:E130)-SUMIF($C$8:C130,"Savings",$E$8:E130),"")</f>
        <v/>
      </c>
      <c r="G130" s="149" t="n"/>
      <c r="H130" s="146" t="n"/>
    </row>
    <row r="131" ht="18" customHeight="1">
      <c r="A131" s="150" t="n"/>
      <c r="B131" s="151" t="n"/>
      <c r="C131" s="151" t="n"/>
      <c r="D131" s="151" t="n"/>
      <c r="E131" s="152" t="n"/>
      <c r="F131" s="152">
        <f>IFERROR(SUMIF($C$8:C131,"Income",$E$8:E131)-SUMIF($C$8:C131,"Expense",$E$8:E131)-SUMIF($C$8:C131,"Savings",$E$8:E131),"")</f>
        <v/>
      </c>
      <c r="G131" s="153" t="n"/>
      <c r="H131" s="150" t="n"/>
    </row>
    <row r="132" ht="18" customHeight="1">
      <c r="A132" s="146" t="n"/>
      <c r="B132" s="147" t="n"/>
      <c r="C132" s="147" t="n"/>
      <c r="D132" s="147" t="n"/>
      <c r="E132" s="148" t="n"/>
      <c r="F132" s="148">
        <f>IFERROR(SUMIF($C$8:C132,"Income",$E$8:E132)-SUMIF($C$8:C132,"Expense",$E$8:E132)-SUMIF($C$8:C132,"Savings",$E$8:E132),"")</f>
        <v/>
      </c>
      <c r="G132" s="149" t="n"/>
      <c r="H132" s="146" t="n"/>
    </row>
    <row r="133" ht="18" customHeight="1">
      <c r="A133" s="150" t="n"/>
      <c r="B133" s="151" t="n"/>
      <c r="C133" s="151" t="n"/>
      <c r="D133" s="151" t="n"/>
      <c r="E133" s="152" t="n"/>
      <c r="F133" s="152">
        <f>IFERROR(SUMIF($C$8:C133,"Income",$E$8:E133)-SUMIF($C$8:C133,"Expense",$E$8:E133)-SUMIF($C$8:C133,"Savings",$E$8:E133),"")</f>
        <v/>
      </c>
      <c r="G133" s="153" t="n"/>
      <c r="H133" s="150" t="n"/>
    </row>
    <row r="134" ht="18" customHeight="1">
      <c r="A134" s="146" t="n"/>
      <c r="B134" s="147" t="n"/>
      <c r="C134" s="147" t="n"/>
      <c r="D134" s="147" t="n"/>
      <c r="E134" s="148" t="n"/>
      <c r="F134" s="148">
        <f>IFERROR(SUMIF($C$8:C134,"Income",$E$8:E134)-SUMIF($C$8:C134,"Expense",$E$8:E134)-SUMIF($C$8:C134,"Savings",$E$8:E134),"")</f>
        <v/>
      </c>
      <c r="G134" s="149" t="n"/>
      <c r="H134" s="146" t="n"/>
    </row>
    <row r="135" ht="18" customHeight="1">
      <c r="A135" s="150" t="n"/>
      <c r="B135" s="151" t="n"/>
      <c r="C135" s="151" t="n"/>
      <c r="D135" s="151" t="n"/>
      <c r="E135" s="152" t="n"/>
      <c r="F135" s="152">
        <f>IFERROR(SUMIF($C$8:C135,"Income",$E$8:E135)-SUMIF($C$8:C135,"Expense",$E$8:E135)-SUMIF($C$8:C135,"Savings",$E$8:E135),"")</f>
        <v/>
      </c>
      <c r="G135" s="153" t="n"/>
      <c r="H135" s="150" t="n"/>
    </row>
    <row r="136" ht="18" customHeight="1">
      <c r="A136" s="146" t="n"/>
      <c r="B136" s="147" t="n"/>
      <c r="C136" s="147" t="n"/>
      <c r="D136" s="147" t="n"/>
      <c r="E136" s="148" t="n"/>
      <c r="F136" s="148">
        <f>IFERROR(SUMIF($C$8:C136,"Income",$E$8:E136)-SUMIF($C$8:C136,"Expense",$E$8:E136)-SUMIF($C$8:C136,"Savings",$E$8:E136),"")</f>
        <v/>
      </c>
      <c r="G136" s="149" t="n"/>
      <c r="H136" s="146" t="n"/>
    </row>
    <row r="137" ht="18" customHeight="1">
      <c r="A137" s="150" t="n"/>
      <c r="B137" s="151" t="n"/>
      <c r="C137" s="151" t="n"/>
      <c r="D137" s="151" t="n"/>
      <c r="E137" s="152" t="n"/>
      <c r="F137" s="152">
        <f>IFERROR(SUMIF($C$8:C137,"Income",$E$8:E137)-SUMIF($C$8:C137,"Expense",$E$8:E137)-SUMIF($C$8:C137,"Savings",$E$8:E137),"")</f>
        <v/>
      </c>
      <c r="G137" s="153" t="n"/>
      <c r="H137" s="150" t="n"/>
    </row>
    <row r="138" ht="18" customHeight="1">
      <c r="A138" s="146" t="n"/>
      <c r="B138" s="147" t="n"/>
      <c r="C138" s="147" t="n"/>
      <c r="D138" s="147" t="n"/>
      <c r="E138" s="148" t="n"/>
      <c r="F138" s="148">
        <f>IFERROR(SUMIF($C$8:C138,"Income",$E$8:E138)-SUMIF($C$8:C138,"Expense",$E$8:E138)-SUMIF($C$8:C138,"Savings",$E$8:E138),"")</f>
        <v/>
      </c>
      <c r="G138" s="149" t="n"/>
      <c r="H138" s="146" t="n"/>
    </row>
    <row r="139" ht="18" customHeight="1">
      <c r="A139" s="150" t="n"/>
      <c r="B139" s="151" t="n"/>
      <c r="C139" s="151" t="n"/>
      <c r="D139" s="151" t="n"/>
      <c r="E139" s="152" t="n"/>
      <c r="F139" s="152">
        <f>IFERROR(SUMIF($C$8:C139,"Income",$E$8:E139)-SUMIF($C$8:C139,"Expense",$E$8:E139)-SUMIF($C$8:C139,"Savings",$E$8:E139),"")</f>
        <v/>
      </c>
      <c r="G139" s="153" t="n"/>
      <c r="H139" s="150" t="n"/>
    </row>
    <row r="140" ht="18" customHeight="1">
      <c r="A140" s="146" t="n"/>
      <c r="B140" s="147" t="n"/>
      <c r="C140" s="147" t="n"/>
      <c r="D140" s="147" t="n"/>
      <c r="E140" s="148" t="n"/>
      <c r="F140" s="148">
        <f>IFERROR(SUMIF($C$8:C140,"Income",$E$8:E140)-SUMIF($C$8:C140,"Expense",$E$8:E140)-SUMIF($C$8:C140,"Savings",$E$8:E140),"")</f>
        <v/>
      </c>
      <c r="G140" s="149" t="n"/>
      <c r="H140" s="146" t="n"/>
    </row>
    <row r="141" ht="18" customHeight="1">
      <c r="A141" s="150" t="n"/>
      <c r="B141" s="151" t="n"/>
      <c r="C141" s="151" t="n"/>
      <c r="D141" s="151" t="n"/>
      <c r="E141" s="152" t="n"/>
      <c r="F141" s="152">
        <f>IFERROR(SUMIF($C$8:C141,"Income",$E$8:E141)-SUMIF($C$8:C141,"Expense",$E$8:E141)-SUMIF($C$8:C141,"Savings",$E$8:E141),"")</f>
        <v/>
      </c>
      <c r="G141" s="153" t="n"/>
      <c r="H141" s="150" t="n"/>
    </row>
    <row r="142" ht="18" customHeight="1">
      <c r="A142" s="146" t="n"/>
      <c r="B142" s="147" t="n"/>
      <c r="C142" s="147" t="n"/>
      <c r="D142" s="147" t="n"/>
      <c r="E142" s="148" t="n"/>
      <c r="F142" s="148">
        <f>IFERROR(SUMIF($C$8:C142,"Income",$E$8:E142)-SUMIF($C$8:C142,"Expense",$E$8:E142)-SUMIF($C$8:C142,"Savings",$E$8:E142),"")</f>
        <v/>
      </c>
      <c r="G142" s="149" t="n"/>
      <c r="H142" s="146" t="n"/>
    </row>
    <row r="143" ht="18" customHeight="1">
      <c r="A143" s="150" t="n"/>
      <c r="B143" s="151" t="n"/>
      <c r="C143" s="151" t="n"/>
      <c r="D143" s="151" t="n"/>
      <c r="E143" s="152" t="n"/>
      <c r="F143" s="152">
        <f>IFERROR(SUMIF($C$8:C143,"Income",$E$8:E143)-SUMIF($C$8:C143,"Expense",$E$8:E143)-SUMIF($C$8:C143,"Savings",$E$8:E143),"")</f>
        <v/>
      </c>
      <c r="G143" s="153" t="n"/>
      <c r="H143" s="150" t="n"/>
    </row>
    <row r="144" ht="18" customHeight="1">
      <c r="A144" s="146" t="n"/>
      <c r="B144" s="147" t="n"/>
      <c r="C144" s="147" t="n"/>
      <c r="D144" s="147" t="n"/>
      <c r="E144" s="148" t="n"/>
      <c r="F144" s="148">
        <f>IFERROR(SUMIF($C$8:C144,"Income",$E$8:E144)-SUMIF($C$8:C144,"Expense",$E$8:E144)-SUMIF($C$8:C144,"Savings",$E$8:E144),"")</f>
        <v/>
      </c>
      <c r="G144" s="149" t="n"/>
      <c r="H144" s="146" t="n"/>
    </row>
    <row r="145" ht="18" customHeight="1">
      <c r="A145" s="150" t="n"/>
      <c r="B145" s="151" t="n"/>
      <c r="C145" s="151" t="n"/>
      <c r="D145" s="151" t="n"/>
      <c r="E145" s="152" t="n"/>
      <c r="F145" s="152">
        <f>IFERROR(SUMIF($C$8:C145,"Income",$E$8:E145)-SUMIF($C$8:C145,"Expense",$E$8:E145)-SUMIF($C$8:C145,"Savings",$E$8:E145),"")</f>
        <v/>
      </c>
      <c r="G145" s="153" t="n"/>
      <c r="H145" s="150" t="n"/>
    </row>
    <row r="146" ht="18" customHeight="1">
      <c r="A146" s="146" t="n"/>
      <c r="B146" s="147" t="n"/>
      <c r="C146" s="147" t="n"/>
      <c r="D146" s="147" t="n"/>
      <c r="E146" s="148" t="n"/>
      <c r="F146" s="148">
        <f>IFERROR(SUMIF($C$8:C146,"Income",$E$8:E146)-SUMIF($C$8:C146,"Expense",$E$8:E146)-SUMIF($C$8:C146,"Savings",$E$8:E146),"")</f>
        <v/>
      </c>
      <c r="G146" s="149" t="n"/>
      <c r="H146" s="146" t="n"/>
    </row>
    <row r="147" ht="18" customHeight="1">
      <c r="A147" s="150" t="n"/>
      <c r="B147" s="151" t="n"/>
      <c r="C147" s="151" t="n"/>
      <c r="D147" s="151" t="n"/>
      <c r="E147" s="152" t="n"/>
      <c r="F147" s="152">
        <f>IFERROR(SUMIF($C$8:C147,"Income",$E$8:E147)-SUMIF($C$8:C147,"Expense",$E$8:E147)-SUMIF($C$8:C147,"Savings",$E$8:E147),"")</f>
        <v/>
      </c>
      <c r="G147" s="153" t="n"/>
      <c r="H147" s="150" t="n"/>
    </row>
    <row r="148" ht="18" customHeight="1">
      <c r="A148" s="146" t="n"/>
      <c r="B148" s="147" t="n"/>
      <c r="C148" s="147" t="n"/>
      <c r="D148" s="147" t="n"/>
      <c r="E148" s="148" t="n"/>
      <c r="F148" s="148">
        <f>IFERROR(SUMIF($C$8:C148,"Income",$E$8:E148)-SUMIF($C$8:C148,"Expense",$E$8:E148)-SUMIF($C$8:C148,"Savings",$E$8:E148),"")</f>
        <v/>
      </c>
      <c r="G148" s="149" t="n"/>
      <c r="H148" s="146" t="n"/>
    </row>
    <row r="149" ht="18" customHeight="1">
      <c r="A149" s="150" t="n"/>
      <c r="B149" s="151" t="n"/>
      <c r="C149" s="151" t="n"/>
      <c r="D149" s="151" t="n"/>
      <c r="E149" s="152" t="n"/>
      <c r="F149" s="152">
        <f>IFERROR(SUMIF($C$8:C149,"Income",$E$8:E149)-SUMIF($C$8:C149,"Expense",$E$8:E149)-SUMIF($C$8:C149,"Savings",$E$8:E149),"")</f>
        <v/>
      </c>
      <c r="G149" s="153" t="n"/>
      <c r="H149" s="150" t="n"/>
    </row>
    <row r="150" ht="18" customHeight="1">
      <c r="A150" s="146" t="n"/>
      <c r="B150" s="147" t="n"/>
      <c r="C150" s="147" t="n"/>
      <c r="D150" s="147" t="n"/>
      <c r="E150" s="148" t="n"/>
      <c r="F150" s="148">
        <f>IFERROR(SUMIF($C$8:C150,"Income",$E$8:E150)-SUMIF($C$8:C150,"Expense",$E$8:E150)-SUMIF($C$8:C150,"Savings",$E$8:E150),"")</f>
        <v/>
      </c>
      <c r="G150" s="149" t="n"/>
      <c r="H150" s="146" t="n"/>
    </row>
    <row r="151" ht="18" customHeight="1">
      <c r="A151" s="150" t="n"/>
      <c r="B151" s="151" t="n"/>
      <c r="C151" s="151" t="n"/>
      <c r="D151" s="151" t="n"/>
      <c r="E151" s="152" t="n"/>
      <c r="F151" s="152">
        <f>IFERROR(SUMIF($C$8:C151,"Income",$E$8:E151)-SUMIF($C$8:C151,"Expense",$E$8:E151)-SUMIF($C$8:C151,"Savings",$E$8:E151),"")</f>
        <v/>
      </c>
      <c r="G151" s="153" t="n"/>
      <c r="H151" s="150" t="n"/>
    </row>
    <row r="152" ht="18" customHeight="1">
      <c r="A152" s="146" t="n"/>
      <c r="B152" s="147" t="n"/>
      <c r="C152" s="147" t="n"/>
      <c r="D152" s="147" t="n"/>
      <c r="E152" s="148" t="n"/>
      <c r="F152" s="148">
        <f>IFERROR(SUMIF($C$8:C152,"Income",$E$8:E152)-SUMIF($C$8:C152,"Expense",$E$8:E152)-SUMIF($C$8:C152,"Savings",$E$8:E152),"")</f>
        <v/>
      </c>
      <c r="G152" s="149" t="n"/>
      <c r="H152" s="146" t="n"/>
    </row>
    <row r="153" ht="18" customHeight="1">
      <c r="A153" s="150" t="n"/>
      <c r="B153" s="151" t="n"/>
      <c r="C153" s="151" t="n"/>
      <c r="D153" s="151" t="n"/>
      <c r="E153" s="152" t="n"/>
      <c r="F153" s="152">
        <f>IFERROR(SUMIF($C$8:C153,"Income",$E$8:E153)-SUMIF($C$8:C153,"Expense",$E$8:E153)-SUMIF($C$8:C153,"Savings",$E$8:E153),"")</f>
        <v/>
      </c>
      <c r="G153" s="153" t="n"/>
      <c r="H153" s="150" t="n"/>
    </row>
    <row r="154" ht="18" customHeight="1">
      <c r="A154" s="146" t="n"/>
      <c r="B154" s="147" t="n"/>
      <c r="C154" s="147" t="n"/>
      <c r="D154" s="147" t="n"/>
      <c r="E154" s="148" t="n"/>
      <c r="F154" s="148">
        <f>IFERROR(SUMIF($C$8:C154,"Income",$E$8:E154)-SUMIF($C$8:C154,"Expense",$E$8:E154)-SUMIF($C$8:C154,"Savings",$E$8:E154),"")</f>
        <v/>
      </c>
      <c r="G154" s="149" t="n"/>
      <c r="H154" s="146" t="n"/>
    </row>
    <row r="155" ht="18" customHeight="1">
      <c r="A155" s="150" t="n"/>
      <c r="B155" s="151" t="n"/>
      <c r="C155" s="151" t="n"/>
      <c r="D155" s="151" t="n"/>
      <c r="E155" s="152" t="n"/>
      <c r="F155" s="152">
        <f>IFERROR(SUMIF($C$8:C155,"Income",$E$8:E155)-SUMIF($C$8:C155,"Expense",$E$8:E155)-SUMIF($C$8:C155,"Savings",$E$8:E155),"")</f>
        <v/>
      </c>
      <c r="G155" s="153" t="n"/>
      <c r="H155" s="150" t="n"/>
    </row>
    <row r="156" ht="18" customHeight="1">
      <c r="A156" s="146" t="n"/>
      <c r="B156" s="147" t="n"/>
      <c r="C156" s="147" t="n"/>
      <c r="D156" s="147" t="n"/>
      <c r="E156" s="148" t="n"/>
      <c r="F156" s="148">
        <f>IFERROR(SUMIF($C$8:C156,"Income",$E$8:E156)-SUMIF($C$8:C156,"Expense",$E$8:E156)-SUMIF($C$8:C156,"Savings",$E$8:E156),"")</f>
        <v/>
      </c>
      <c r="G156" s="149" t="n"/>
      <c r="H156" s="146" t="n"/>
    </row>
    <row r="157" ht="18" customHeight="1">
      <c r="A157" s="150" t="n"/>
      <c r="B157" s="151" t="n"/>
      <c r="C157" s="151" t="n"/>
      <c r="D157" s="151" t="n"/>
      <c r="E157" s="152" t="n"/>
      <c r="F157" s="152">
        <f>IFERROR(SUMIF($C$8:C157,"Income",$E$8:E157)-SUMIF($C$8:C157,"Expense",$E$8:E157)-SUMIF($C$8:C157,"Savings",$E$8:E157),"")</f>
        <v/>
      </c>
      <c r="G157" s="153" t="n"/>
      <c r="H157" s="150" t="n"/>
    </row>
    <row r="158" ht="18" customHeight="1">
      <c r="A158" s="146" t="n"/>
      <c r="B158" s="147" t="n"/>
      <c r="C158" s="147" t="n"/>
      <c r="D158" s="147" t="n"/>
      <c r="E158" s="148" t="n"/>
      <c r="F158" s="148">
        <f>IFERROR(SUMIF($C$8:C158,"Income",$E$8:E158)-SUMIF($C$8:C158,"Expense",$E$8:E158)-SUMIF($C$8:C158,"Savings",$E$8:E158),"")</f>
        <v/>
      </c>
      <c r="G158" s="149" t="n"/>
      <c r="H158" s="146" t="n"/>
    </row>
    <row r="159" ht="18" customHeight="1">
      <c r="A159" s="150" t="n"/>
      <c r="B159" s="151" t="n"/>
      <c r="C159" s="151" t="n"/>
      <c r="D159" s="151" t="n"/>
      <c r="E159" s="152" t="n"/>
      <c r="F159" s="152">
        <f>IFERROR(SUMIF($C$8:C159,"Income",$E$8:E159)-SUMIF($C$8:C159,"Expense",$E$8:E159)-SUMIF($C$8:C159,"Savings",$E$8:E159),"")</f>
        <v/>
      </c>
      <c r="G159" s="153" t="n"/>
      <c r="H159" s="150" t="n"/>
    </row>
    <row r="160" ht="18" customHeight="1">
      <c r="A160" s="146" t="n"/>
      <c r="B160" s="147" t="n"/>
      <c r="C160" s="147" t="n"/>
      <c r="D160" s="147" t="n"/>
      <c r="E160" s="148" t="n"/>
      <c r="F160" s="148">
        <f>IFERROR(SUMIF($C$8:C160,"Income",$E$8:E160)-SUMIF($C$8:C160,"Expense",$E$8:E160)-SUMIF($C$8:C160,"Savings",$E$8:E160),"")</f>
        <v/>
      </c>
      <c r="G160" s="149" t="n"/>
      <c r="H160" s="146" t="n"/>
    </row>
    <row r="161" ht="18" customHeight="1">
      <c r="A161" s="150" t="n"/>
      <c r="B161" s="151" t="n"/>
      <c r="C161" s="151" t="n"/>
      <c r="D161" s="151" t="n"/>
      <c r="E161" s="152" t="n"/>
      <c r="F161" s="152">
        <f>IFERROR(SUMIF($C$8:C161,"Income",$E$8:E161)-SUMIF($C$8:C161,"Expense",$E$8:E161)-SUMIF($C$8:C161,"Savings",$E$8:E161),"")</f>
        <v/>
      </c>
      <c r="G161" s="153" t="n"/>
      <c r="H161" s="150" t="n"/>
    </row>
    <row r="162" ht="18" customHeight="1">
      <c r="A162" s="146" t="n"/>
      <c r="B162" s="147" t="n"/>
      <c r="C162" s="147" t="n"/>
      <c r="D162" s="147" t="n"/>
      <c r="E162" s="148" t="n"/>
      <c r="F162" s="148">
        <f>IFERROR(SUMIF($C$8:C162,"Income",$E$8:E162)-SUMIF($C$8:C162,"Expense",$E$8:E162)-SUMIF($C$8:C162,"Savings",$E$8:E162),"")</f>
        <v/>
      </c>
      <c r="G162" s="149" t="n"/>
      <c r="H162" s="146" t="n"/>
    </row>
    <row r="163" ht="18" customHeight="1">
      <c r="A163" s="150" t="n"/>
      <c r="B163" s="151" t="n"/>
      <c r="C163" s="151" t="n"/>
      <c r="D163" s="151" t="n"/>
      <c r="E163" s="152" t="n"/>
      <c r="F163" s="152">
        <f>IFERROR(SUMIF($C$8:C163,"Income",$E$8:E163)-SUMIF($C$8:C163,"Expense",$E$8:E163)-SUMIF($C$8:C163,"Savings",$E$8:E163),"")</f>
        <v/>
      </c>
      <c r="G163" s="153" t="n"/>
      <c r="H163" s="150" t="n"/>
    </row>
    <row r="164" ht="18" customHeight="1">
      <c r="A164" s="146" t="n"/>
      <c r="B164" s="147" t="n"/>
      <c r="C164" s="147" t="n"/>
      <c r="D164" s="147" t="n"/>
      <c r="E164" s="148" t="n"/>
      <c r="F164" s="148">
        <f>IFERROR(SUMIF($C$8:C164,"Income",$E$8:E164)-SUMIF($C$8:C164,"Expense",$E$8:E164)-SUMIF($C$8:C164,"Savings",$E$8:E164),"")</f>
        <v/>
      </c>
      <c r="G164" s="149" t="n"/>
      <c r="H164" s="146" t="n"/>
    </row>
    <row r="165" ht="18" customHeight="1">
      <c r="A165" s="150" t="n"/>
      <c r="B165" s="151" t="n"/>
      <c r="C165" s="151" t="n"/>
      <c r="D165" s="151" t="n"/>
      <c r="E165" s="152" t="n"/>
      <c r="F165" s="152">
        <f>IFERROR(SUMIF($C$8:C165,"Income",$E$8:E165)-SUMIF($C$8:C165,"Expense",$E$8:E165)-SUMIF($C$8:C165,"Savings",$E$8:E165),"")</f>
        <v/>
      </c>
      <c r="G165" s="153" t="n"/>
      <c r="H165" s="150" t="n"/>
    </row>
    <row r="166" ht="18" customHeight="1">
      <c r="A166" s="146" t="n"/>
      <c r="B166" s="147" t="n"/>
      <c r="C166" s="147" t="n"/>
      <c r="D166" s="147" t="n"/>
      <c r="E166" s="148" t="n"/>
      <c r="F166" s="148">
        <f>IFERROR(SUMIF($C$8:C166,"Income",$E$8:E166)-SUMIF($C$8:C166,"Expense",$E$8:E166)-SUMIF($C$8:C166,"Savings",$E$8:E166),"")</f>
        <v/>
      </c>
      <c r="G166" s="149" t="n"/>
      <c r="H166" s="146" t="n"/>
    </row>
    <row r="167" ht="18" customHeight="1">
      <c r="A167" s="150" t="n"/>
      <c r="B167" s="151" t="n"/>
      <c r="C167" s="151" t="n"/>
      <c r="D167" s="151" t="n"/>
      <c r="E167" s="152" t="n"/>
      <c r="F167" s="152">
        <f>IFERROR(SUMIF($C$8:C167,"Income",$E$8:E167)-SUMIF($C$8:C167,"Expense",$E$8:E167)-SUMIF($C$8:C167,"Savings",$E$8:E167),"")</f>
        <v/>
      </c>
      <c r="G167" s="153" t="n"/>
      <c r="H167" s="150" t="n"/>
    </row>
    <row r="168" ht="18" customHeight="1">
      <c r="A168" s="146" t="n"/>
      <c r="B168" s="147" t="n"/>
      <c r="C168" s="147" t="n"/>
      <c r="D168" s="147" t="n"/>
      <c r="E168" s="148" t="n"/>
      <c r="F168" s="148">
        <f>IFERROR(SUMIF($C$8:C168,"Income",$E$8:E168)-SUMIF($C$8:C168,"Expense",$E$8:E168)-SUMIF($C$8:C168,"Savings",$E$8:E168),"")</f>
        <v/>
      </c>
      <c r="G168" s="149" t="n"/>
      <c r="H168" s="146" t="n"/>
    </row>
    <row r="169" ht="18" customHeight="1">
      <c r="A169" s="150" t="n"/>
      <c r="B169" s="151" t="n"/>
      <c r="C169" s="151" t="n"/>
      <c r="D169" s="151" t="n"/>
      <c r="E169" s="152" t="n"/>
      <c r="F169" s="152">
        <f>IFERROR(SUMIF($C$8:C169,"Income",$E$8:E169)-SUMIF($C$8:C169,"Expense",$E$8:E169)-SUMIF($C$8:C169,"Savings",$E$8:E169),"")</f>
        <v/>
      </c>
      <c r="G169" s="153" t="n"/>
      <c r="H169" s="150" t="n"/>
    </row>
    <row r="170" ht="18" customHeight="1">
      <c r="A170" s="146" t="n"/>
      <c r="B170" s="147" t="n"/>
      <c r="C170" s="147" t="n"/>
      <c r="D170" s="147" t="n"/>
      <c r="E170" s="148" t="n"/>
      <c r="F170" s="148">
        <f>IFERROR(SUMIF($C$8:C170,"Income",$E$8:E170)-SUMIF($C$8:C170,"Expense",$E$8:E170)-SUMIF($C$8:C170,"Savings",$E$8:E170),"")</f>
        <v/>
      </c>
      <c r="G170" s="149" t="n"/>
      <c r="H170" s="146" t="n"/>
    </row>
    <row r="171" ht="18" customHeight="1">
      <c r="A171" s="150" t="n"/>
      <c r="B171" s="151" t="n"/>
      <c r="C171" s="151" t="n"/>
      <c r="D171" s="151" t="n"/>
      <c r="E171" s="152" t="n"/>
      <c r="F171" s="152">
        <f>IFERROR(SUMIF($C$8:C171,"Income",$E$8:E171)-SUMIF($C$8:C171,"Expense",$E$8:E171)-SUMIF($C$8:C171,"Savings",$E$8:E171),"")</f>
        <v/>
      </c>
      <c r="G171" s="153" t="n"/>
      <c r="H171" s="150" t="n"/>
    </row>
    <row r="172" ht="18" customHeight="1">
      <c r="A172" s="146" t="n"/>
      <c r="B172" s="147" t="n"/>
      <c r="C172" s="147" t="n"/>
      <c r="D172" s="147" t="n"/>
      <c r="E172" s="148" t="n"/>
      <c r="F172" s="148">
        <f>IFERROR(SUMIF($C$8:C172,"Income",$E$8:E172)-SUMIF($C$8:C172,"Expense",$E$8:E172)-SUMIF($C$8:C172,"Savings",$E$8:E172),"")</f>
        <v/>
      </c>
      <c r="G172" s="149" t="n"/>
      <c r="H172" s="146" t="n"/>
    </row>
    <row r="173" ht="18" customHeight="1">
      <c r="A173" s="150" t="n"/>
      <c r="B173" s="151" t="n"/>
      <c r="C173" s="151" t="n"/>
      <c r="D173" s="151" t="n"/>
      <c r="E173" s="152" t="n"/>
      <c r="F173" s="152">
        <f>IFERROR(SUMIF($C$8:C173,"Income",$E$8:E173)-SUMIF($C$8:C173,"Expense",$E$8:E173)-SUMIF($C$8:C173,"Savings",$E$8:E173),"")</f>
        <v/>
      </c>
      <c r="G173" s="153" t="n"/>
      <c r="H173" s="150" t="n"/>
    </row>
    <row r="174" ht="18" customHeight="1">
      <c r="A174" s="146" t="n"/>
      <c r="B174" s="147" t="n"/>
      <c r="C174" s="147" t="n"/>
      <c r="D174" s="147" t="n"/>
      <c r="E174" s="148" t="n"/>
      <c r="F174" s="148">
        <f>IFERROR(SUMIF($C$8:C174,"Income",$E$8:E174)-SUMIF($C$8:C174,"Expense",$E$8:E174)-SUMIF($C$8:C174,"Savings",$E$8:E174),"")</f>
        <v/>
      </c>
      <c r="G174" s="149" t="n"/>
      <c r="H174" s="146" t="n"/>
    </row>
    <row r="175" ht="18" customHeight="1">
      <c r="A175" s="150" t="n"/>
      <c r="B175" s="151" t="n"/>
      <c r="C175" s="151" t="n"/>
      <c r="D175" s="151" t="n"/>
      <c r="E175" s="152" t="n"/>
      <c r="F175" s="152">
        <f>IFERROR(SUMIF($C$8:C175,"Income",$E$8:E175)-SUMIF($C$8:C175,"Expense",$E$8:E175)-SUMIF($C$8:C175,"Savings",$E$8:E175),"")</f>
        <v/>
      </c>
      <c r="G175" s="153" t="n"/>
      <c r="H175" s="150" t="n"/>
    </row>
    <row r="176" ht="18" customHeight="1">
      <c r="A176" s="146" t="n"/>
      <c r="B176" s="147" t="n"/>
      <c r="C176" s="147" t="n"/>
      <c r="D176" s="147" t="n"/>
      <c r="E176" s="148" t="n"/>
      <c r="F176" s="148">
        <f>IFERROR(SUMIF($C$8:C176,"Income",$E$8:E176)-SUMIF($C$8:C176,"Expense",$E$8:E176)-SUMIF($C$8:C176,"Savings",$E$8:E176),"")</f>
        <v/>
      </c>
      <c r="G176" s="149" t="n"/>
      <c r="H176" s="146" t="n"/>
    </row>
    <row r="177" ht="18" customHeight="1">
      <c r="A177" s="150" t="n"/>
      <c r="B177" s="151" t="n"/>
      <c r="C177" s="151" t="n"/>
      <c r="D177" s="151" t="n"/>
      <c r="E177" s="152" t="n"/>
      <c r="F177" s="152">
        <f>IFERROR(SUMIF($C$8:C177,"Income",$E$8:E177)-SUMIF($C$8:C177,"Expense",$E$8:E177)-SUMIF($C$8:C177,"Savings",$E$8:E177),"")</f>
        <v/>
      </c>
      <c r="G177" s="153" t="n"/>
      <c r="H177" s="150" t="n"/>
    </row>
    <row r="178" ht="18" customHeight="1">
      <c r="A178" s="146" t="n"/>
      <c r="B178" s="147" t="n"/>
      <c r="C178" s="147" t="n"/>
      <c r="D178" s="147" t="n"/>
      <c r="E178" s="148" t="n"/>
      <c r="F178" s="148">
        <f>IFERROR(SUMIF($C$8:C178,"Income",$E$8:E178)-SUMIF($C$8:C178,"Expense",$E$8:E178)-SUMIF($C$8:C178,"Savings",$E$8:E178),"")</f>
        <v/>
      </c>
      <c r="G178" s="149" t="n"/>
      <c r="H178" s="146" t="n"/>
    </row>
    <row r="179" ht="18" customHeight="1">
      <c r="A179" s="150" t="n"/>
      <c r="B179" s="151" t="n"/>
      <c r="C179" s="151" t="n"/>
      <c r="D179" s="151" t="n"/>
      <c r="E179" s="152" t="n"/>
      <c r="F179" s="152">
        <f>IFERROR(SUMIF($C$8:C179,"Income",$E$8:E179)-SUMIF($C$8:C179,"Expense",$E$8:E179)-SUMIF($C$8:C179,"Savings",$E$8:E179),"")</f>
        <v/>
      </c>
      <c r="G179" s="153" t="n"/>
      <c r="H179" s="150" t="n"/>
    </row>
    <row r="180" ht="18" customHeight="1">
      <c r="A180" s="146" t="n"/>
      <c r="B180" s="147" t="n"/>
      <c r="C180" s="147" t="n"/>
      <c r="D180" s="147" t="n"/>
      <c r="E180" s="148" t="n"/>
      <c r="F180" s="148">
        <f>IFERROR(SUMIF($C$8:C180,"Income",$E$8:E180)-SUMIF($C$8:C180,"Expense",$E$8:E180)-SUMIF($C$8:C180,"Savings",$E$8:E180),"")</f>
        <v/>
      </c>
      <c r="G180" s="149" t="n"/>
      <c r="H180" s="146" t="n"/>
    </row>
    <row r="181" ht="18" customHeight="1">
      <c r="A181" s="150" t="n"/>
      <c r="B181" s="151" t="n"/>
      <c r="C181" s="151" t="n"/>
      <c r="D181" s="151" t="n"/>
      <c r="E181" s="152" t="n"/>
      <c r="F181" s="152">
        <f>IFERROR(SUMIF($C$8:C181,"Income",$E$8:E181)-SUMIF($C$8:C181,"Expense",$E$8:E181)-SUMIF($C$8:C181,"Savings",$E$8:E181),"")</f>
        <v/>
      </c>
      <c r="G181" s="153" t="n"/>
      <c r="H181" s="150" t="n"/>
    </row>
    <row r="182" ht="18" customHeight="1">
      <c r="A182" s="146" t="n"/>
      <c r="B182" s="147" t="n"/>
      <c r="C182" s="147" t="n"/>
      <c r="D182" s="147" t="n"/>
      <c r="E182" s="148" t="n"/>
      <c r="F182" s="148">
        <f>IFERROR(SUMIF($C$8:C182,"Income",$E$8:E182)-SUMIF($C$8:C182,"Expense",$E$8:E182)-SUMIF($C$8:C182,"Savings",$E$8:E182),"")</f>
        <v/>
      </c>
      <c r="G182" s="149" t="n"/>
      <c r="H182" s="146" t="n"/>
    </row>
    <row r="183" ht="18" customHeight="1">
      <c r="A183" s="150" t="n"/>
      <c r="B183" s="151" t="n"/>
      <c r="C183" s="151" t="n"/>
      <c r="D183" s="151" t="n"/>
      <c r="E183" s="152" t="n"/>
      <c r="F183" s="152">
        <f>IFERROR(SUMIF($C$8:C183,"Income",$E$8:E183)-SUMIF($C$8:C183,"Expense",$E$8:E183)-SUMIF($C$8:C183,"Savings",$E$8:E183),"")</f>
        <v/>
      </c>
      <c r="G183" s="153" t="n"/>
      <c r="H183" s="150" t="n"/>
    </row>
    <row r="184" ht="18" customHeight="1">
      <c r="A184" s="146" t="n"/>
      <c r="B184" s="147" t="n"/>
      <c r="C184" s="147" t="n"/>
      <c r="D184" s="147" t="n"/>
      <c r="E184" s="148" t="n"/>
      <c r="F184" s="148">
        <f>IFERROR(SUMIF($C$8:C184,"Income",$E$8:E184)-SUMIF($C$8:C184,"Expense",$E$8:E184)-SUMIF($C$8:C184,"Savings",$E$8:E184),"")</f>
        <v/>
      </c>
      <c r="G184" s="149" t="n"/>
      <c r="H184" s="146" t="n"/>
    </row>
    <row r="185" ht="18" customHeight="1">
      <c r="A185" s="150" t="n"/>
      <c r="B185" s="151" t="n"/>
      <c r="C185" s="151" t="n"/>
      <c r="D185" s="151" t="n"/>
      <c r="E185" s="152" t="n"/>
      <c r="F185" s="152">
        <f>IFERROR(SUMIF($C$8:C185,"Income",$E$8:E185)-SUMIF($C$8:C185,"Expense",$E$8:E185)-SUMIF($C$8:C185,"Savings",$E$8:E185),"")</f>
        <v/>
      </c>
      <c r="G185" s="153" t="n"/>
      <c r="H185" s="150" t="n"/>
    </row>
    <row r="186" ht="18" customHeight="1">
      <c r="A186" s="146" t="n"/>
      <c r="B186" s="147" t="n"/>
      <c r="C186" s="147" t="n"/>
      <c r="D186" s="147" t="n"/>
      <c r="E186" s="148" t="n"/>
      <c r="F186" s="148">
        <f>IFERROR(SUMIF($C$8:C186,"Income",$E$8:E186)-SUMIF($C$8:C186,"Expense",$E$8:E186)-SUMIF($C$8:C186,"Savings",$E$8:E186),"")</f>
        <v/>
      </c>
      <c r="G186" s="149" t="n"/>
      <c r="H186" s="146" t="n"/>
    </row>
    <row r="187" ht="18" customHeight="1">
      <c r="A187" s="150" t="n"/>
      <c r="B187" s="151" t="n"/>
      <c r="C187" s="151" t="n"/>
      <c r="D187" s="151" t="n"/>
      <c r="E187" s="152" t="n"/>
      <c r="F187" s="152">
        <f>IFERROR(SUMIF($C$8:C187,"Income",$E$8:E187)-SUMIF($C$8:C187,"Expense",$E$8:E187)-SUMIF($C$8:C187,"Savings",$E$8:E187),"")</f>
        <v/>
      </c>
      <c r="G187" s="153" t="n"/>
      <c r="H187" s="150" t="n"/>
    </row>
    <row r="188" ht="18" customHeight="1">
      <c r="A188" s="146" t="n"/>
      <c r="B188" s="147" t="n"/>
      <c r="C188" s="147" t="n"/>
      <c r="D188" s="147" t="n"/>
      <c r="E188" s="148" t="n"/>
      <c r="F188" s="148">
        <f>IFERROR(SUMIF($C$8:C188,"Income",$E$8:E188)-SUMIF($C$8:C188,"Expense",$E$8:E188)-SUMIF($C$8:C188,"Savings",$E$8:E188),"")</f>
        <v/>
      </c>
      <c r="G188" s="149" t="n"/>
      <c r="H188" s="146" t="n"/>
    </row>
    <row r="189" ht="18" customHeight="1">
      <c r="A189" s="150" t="n"/>
      <c r="B189" s="151" t="n"/>
      <c r="C189" s="151" t="n"/>
      <c r="D189" s="151" t="n"/>
      <c r="E189" s="152" t="n"/>
      <c r="F189" s="152">
        <f>IFERROR(SUMIF($C$8:C189,"Income",$E$8:E189)-SUMIF($C$8:C189,"Expense",$E$8:E189)-SUMIF($C$8:C189,"Savings",$E$8:E189),"")</f>
        <v/>
      </c>
      <c r="G189" s="153" t="n"/>
      <c r="H189" s="150" t="n"/>
    </row>
    <row r="190" ht="18" customHeight="1">
      <c r="A190" s="146" t="n"/>
      <c r="B190" s="147" t="n"/>
      <c r="C190" s="147" t="n"/>
      <c r="D190" s="147" t="n"/>
      <c r="E190" s="148" t="n"/>
      <c r="F190" s="148">
        <f>IFERROR(SUMIF($C$8:C190,"Income",$E$8:E190)-SUMIF($C$8:C190,"Expense",$E$8:E190)-SUMIF($C$8:C190,"Savings",$E$8:E190),"")</f>
        <v/>
      </c>
      <c r="G190" s="149" t="n"/>
      <c r="H190" s="146" t="n"/>
    </row>
    <row r="191" ht="18" customHeight="1">
      <c r="A191" s="150" t="n"/>
      <c r="B191" s="151" t="n"/>
      <c r="C191" s="151" t="n"/>
      <c r="D191" s="151" t="n"/>
      <c r="E191" s="152" t="n"/>
      <c r="F191" s="152">
        <f>IFERROR(SUMIF($C$8:C191,"Income",$E$8:E191)-SUMIF($C$8:C191,"Expense",$E$8:E191)-SUMIF($C$8:C191,"Savings",$E$8:E191),"")</f>
        <v/>
      </c>
      <c r="G191" s="153" t="n"/>
      <c r="H191" s="150" t="n"/>
    </row>
    <row r="192" ht="18" customHeight="1">
      <c r="A192" s="146" t="n"/>
      <c r="B192" s="147" t="n"/>
      <c r="C192" s="147" t="n"/>
      <c r="D192" s="147" t="n"/>
      <c r="E192" s="148" t="n"/>
      <c r="F192" s="148">
        <f>IFERROR(SUMIF($C$8:C192,"Income",$E$8:E192)-SUMIF($C$8:C192,"Expense",$E$8:E192)-SUMIF($C$8:C192,"Savings",$E$8:E192),"")</f>
        <v/>
      </c>
      <c r="G192" s="149" t="n"/>
      <c r="H192" s="146" t="n"/>
    </row>
    <row r="193" ht="18" customHeight="1">
      <c r="A193" s="150" t="n"/>
      <c r="B193" s="151" t="n"/>
      <c r="C193" s="151" t="n"/>
      <c r="D193" s="151" t="n"/>
      <c r="E193" s="152" t="n"/>
      <c r="F193" s="152">
        <f>IFERROR(SUMIF($C$8:C193,"Income",$E$8:E193)-SUMIF($C$8:C193,"Expense",$E$8:E193)-SUMIF($C$8:C193,"Savings",$E$8:E193),"")</f>
        <v/>
      </c>
      <c r="G193" s="153" t="n"/>
      <c r="H193" s="150" t="n"/>
    </row>
    <row r="194" ht="18" customHeight="1">
      <c r="A194" s="146" t="n"/>
      <c r="B194" s="147" t="n"/>
      <c r="C194" s="147" t="n"/>
      <c r="D194" s="147" t="n"/>
      <c r="E194" s="148" t="n"/>
      <c r="F194" s="148">
        <f>IFERROR(SUMIF($C$8:C194,"Income",$E$8:E194)-SUMIF($C$8:C194,"Expense",$E$8:E194)-SUMIF($C$8:C194,"Savings",$E$8:E194),"")</f>
        <v/>
      </c>
      <c r="G194" s="149" t="n"/>
      <c r="H194" s="146" t="n"/>
    </row>
    <row r="195" ht="18" customHeight="1">
      <c r="A195" s="150" t="n"/>
      <c r="B195" s="151" t="n"/>
      <c r="C195" s="151" t="n"/>
      <c r="D195" s="151" t="n"/>
      <c r="E195" s="152" t="n"/>
      <c r="F195" s="152">
        <f>IFERROR(SUMIF($C$8:C195,"Income",$E$8:E195)-SUMIF($C$8:C195,"Expense",$E$8:E195)-SUMIF($C$8:C195,"Savings",$E$8:E195),"")</f>
        <v/>
      </c>
      <c r="G195" s="153" t="n"/>
      <c r="H195" s="150" t="n"/>
    </row>
    <row r="196" ht="18" customHeight="1">
      <c r="A196" s="146" t="n"/>
      <c r="B196" s="147" t="n"/>
      <c r="C196" s="147" t="n"/>
      <c r="D196" s="147" t="n"/>
      <c r="E196" s="148" t="n"/>
      <c r="F196" s="148">
        <f>IFERROR(SUMIF($C$8:C196,"Income",$E$8:E196)-SUMIF($C$8:C196,"Expense",$E$8:E196)-SUMIF($C$8:C196,"Savings",$E$8:E196),"")</f>
        <v/>
      </c>
      <c r="G196" s="149" t="n"/>
      <c r="H196" s="146" t="n"/>
    </row>
    <row r="197" ht="18" customHeight="1">
      <c r="A197" s="150" t="n"/>
      <c r="B197" s="151" t="n"/>
      <c r="C197" s="151" t="n"/>
      <c r="D197" s="151" t="n"/>
      <c r="E197" s="152" t="n"/>
      <c r="F197" s="152">
        <f>IFERROR(SUMIF($C$8:C197,"Income",$E$8:E197)-SUMIF($C$8:C197,"Expense",$E$8:E197)-SUMIF($C$8:C197,"Savings",$E$8:E197),"")</f>
        <v/>
      </c>
      <c r="G197" s="153" t="n"/>
      <c r="H197" s="150" t="n"/>
    </row>
    <row r="198" ht="18" customHeight="1">
      <c r="A198" s="146" t="n"/>
      <c r="B198" s="147" t="n"/>
      <c r="C198" s="147" t="n"/>
      <c r="D198" s="147" t="n"/>
      <c r="E198" s="148" t="n"/>
      <c r="F198" s="148">
        <f>IFERROR(SUMIF($C$8:C198,"Income",$E$8:E198)-SUMIF($C$8:C198,"Expense",$E$8:E198)-SUMIF($C$8:C198,"Savings",$E$8:E198),"")</f>
        <v/>
      </c>
      <c r="G198" s="149" t="n"/>
      <c r="H198" s="146" t="n"/>
    </row>
    <row r="199" ht="18" customHeight="1">
      <c r="A199" s="150" t="n"/>
      <c r="B199" s="151" t="n"/>
      <c r="C199" s="151" t="n"/>
      <c r="D199" s="151" t="n"/>
      <c r="E199" s="152" t="n"/>
      <c r="F199" s="152">
        <f>IFERROR(SUMIF($C$8:C199,"Income",$E$8:E199)-SUMIF($C$8:C199,"Expense",$E$8:E199)-SUMIF($C$8:C199,"Savings",$E$8:E199),"")</f>
        <v/>
      </c>
      <c r="G199" s="153" t="n"/>
      <c r="H199" s="150" t="n"/>
    </row>
    <row r="200" ht="18" customHeight="1">
      <c r="A200" s="146" t="n"/>
      <c r="B200" s="147" t="n"/>
      <c r="C200" s="147" t="n"/>
      <c r="D200" s="147" t="n"/>
      <c r="E200" s="148" t="n"/>
      <c r="F200" s="148">
        <f>IFERROR(SUMIF($C$8:C200,"Income",$E$8:E200)-SUMIF($C$8:C200,"Expense",$E$8:E200)-SUMIF($C$8:C200,"Savings",$E$8:E200),"")</f>
        <v/>
      </c>
      <c r="G200" s="149" t="n"/>
      <c r="H200" s="146" t="n"/>
    </row>
    <row r="201" ht="18" customHeight="1">
      <c r="A201" s="150" t="n"/>
      <c r="B201" s="151" t="n"/>
      <c r="C201" s="151" t="n"/>
      <c r="D201" s="151" t="n"/>
      <c r="E201" s="152" t="n"/>
      <c r="F201" s="152">
        <f>IFERROR(SUMIF($C$8:C201,"Income",$E$8:E201)-SUMIF($C$8:C201,"Expense",$E$8:E201)-SUMIF($C$8:C201,"Savings",$E$8:E201),"")</f>
        <v/>
      </c>
      <c r="G201" s="153" t="n"/>
      <c r="H201" s="150" t="n"/>
    </row>
    <row r="202" ht="18" customHeight="1">
      <c r="A202" s="146" t="n"/>
      <c r="B202" s="147" t="n"/>
      <c r="C202" s="147" t="n"/>
      <c r="D202" s="147" t="n"/>
      <c r="E202" s="148" t="n"/>
      <c r="F202" s="148">
        <f>IFERROR(SUMIF($C$8:C202,"Income",$E$8:E202)-SUMIF($C$8:C202,"Expense",$E$8:E202)-SUMIF($C$8:C202,"Savings",$E$8:E202),"")</f>
        <v/>
      </c>
      <c r="G202" s="149" t="n"/>
      <c r="H202" s="146" t="n"/>
    </row>
    <row r="203" ht="18" customHeight="1">
      <c r="A203" s="150" t="n"/>
      <c r="B203" s="151" t="n"/>
      <c r="C203" s="151" t="n"/>
      <c r="D203" s="151" t="n"/>
      <c r="E203" s="152" t="n"/>
      <c r="F203" s="152">
        <f>IFERROR(SUMIF($C$8:C203,"Income",$E$8:E203)-SUMIF($C$8:C203,"Expense",$E$8:E203)-SUMIF($C$8:C203,"Savings",$E$8:E203),"")</f>
        <v/>
      </c>
      <c r="G203" s="153" t="n"/>
      <c r="H203" s="150" t="n"/>
    </row>
    <row r="204" ht="18" customHeight="1">
      <c r="A204" s="146" t="n"/>
      <c r="B204" s="147" t="n"/>
      <c r="C204" s="147" t="n"/>
      <c r="D204" s="147" t="n"/>
      <c r="E204" s="148" t="n"/>
      <c r="F204" s="148">
        <f>IFERROR(SUMIF($C$8:C204,"Income",$E$8:E204)-SUMIF($C$8:C204,"Expense",$E$8:E204)-SUMIF($C$8:C204,"Savings",$E$8:E204),"")</f>
        <v/>
      </c>
      <c r="G204" s="149" t="n"/>
      <c r="H204" s="146" t="n"/>
    </row>
    <row r="205" ht="18" customHeight="1">
      <c r="A205" s="150" t="n"/>
      <c r="B205" s="151" t="n"/>
      <c r="C205" s="151" t="n"/>
      <c r="D205" s="151" t="n"/>
      <c r="E205" s="152" t="n"/>
      <c r="F205" s="152">
        <f>IFERROR(SUMIF($C$8:C205,"Income",$E$8:E205)-SUMIF($C$8:C205,"Expense",$E$8:E205)-SUMIF($C$8:C205,"Savings",$E$8:E205),"")</f>
        <v/>
      </c>
      <c r="G205" s="153" t="n"/>
      <c r="H205" s="150" t="n"/>
    </row>
    <row r="206" ht="18" customHeight="1">
      <c r="A206" s="146" t="n"/>
      <c r="B206" s="147" t="n"/>
      <c r="C206" s="147" t="n"/>
      <c r="D206" s="147" t="n"/>
      <c r="E206" s="148" t="n"/>
      <c r="F206" s="148">
        <f>IFERROR(SUMIF($C$8:C206,"Income",$E$8:E206)-SUMIF($C$8:C206,"Expense",$E$8:E206)-SUMIF($C$8:C206,"Savings",$E$8:E206),"")</f>
        <v/>
      </c>
      <c r="G206" s="149" t="n"/>
      <c r="H206" s="146" t="n"/>
    </row>
    <row r="207" ht="18" customHeight="1">
      <c r="A207" s="150" t="n"/>
      <c r="B207" s="151" t="n"/>
      <c r="C207" s="151" t="n"/>
      <c r="D207" s="151" t="n"/>
      <c r="E207" s="152" t="n"/>
      <c r="F207" s="152">
        <f>IFERROR(SUMIF($C$8:C207,"Income",$E$8:E207)-SUMIF($C$8:C207,"Expense",$E$8:E207)-SUMIF($C$8:C207,"Savings",$E$8:E207),"")</f>
        <v/>
      </c>
      <c r="G207" s="153" t="n"/>
      <c r="H207" s="150" t="n"/>
    </row>
    <row r="210" ht="26" customHeight="1">
      <c r="A210" s="154" t="inlineStr">
        <is>
          <t>MONTHLY SUMMARY</t>
        </is>
      </c>
    </row>
    <row r="211">
      <c r="A211" s="145" t="inlineStr">
        <is>
          <t>Month</t>
        </is>
      </c>
      <c r="B211" s="145" t="inlineStr">
        <is>
          <t>Income</t>
        </is>
      </c>
      <c r="C211" s="145" t="inlineStr">
        <is>
          <t>Expenses</t>
        </is>
      </c>
      <c r="D211" s="145" t="inlineStr">
        <is>
          <t>Savings</t>
        </is>
      </c>
      <c r="E211" s="145" t="inlineStr">
        <is>
          <t>Net</t>
        </is>
      </c>
      <c r="F211" s="145" t="inlineStr"/>
      <c r="G211" s="145" t="inlineStr"/>
      <c r="H211" s="145" t="inlineStr"/>
    </row>
    <row r="212">
      <c r="A212" s="155" t="inlineStr">
        <is>
          <t>Jan</t>
        </is>
      </c>
      <c r="B212" s="156">
        <f>IFERROR(SUMPRODUCT((MONTH($A$8:$A$207)=1)*(YEAR($A$8:$A$207)=2026)*($C$8:$C$207="Income")*($E$8:$E$207)),0)</f>
        <v/>
      </c>
      <c r="C212" s="156">
        <f>IFERROR(SUMPRODUCT((MONTH($A$8:$A$207)=1)*(YEAR($A$8:$A$207)=2026)*($C$8:$C$207="Expense")*($E$8:$E$207)),0)</f>
        <v/>
      </c>
      <c r="D212" s="156">
        <f>IFERROR(SUMPRODUCT((MONTH($A$8:$A$207)=1)*(YEAR($A$8:$A$207)=2026)*($C$8:$C$207="Savings")*($E$8:$E$207)),0)</f>
        <v/>
      </c>
      <c r="E212" s="156">
        <f>B212-C212-D212</f>
        <v/>
      </c>
    </row>
    <row r="213">
      <c r="A213" s="155" t="inlineStr">
        <is>
          <t>Feb</t>
        </is>
      </c>
      <c r="B213" s="156">
        <f>IFERROR(SUMPRODUCT((MONTH($A$8:$A$207)=2)*(YEAR($A$8:$A$207)=2026)*($C$8:$C$207="Income")*($E$8:$E$207)),0)</f>
        <v/>
      </c>
      <c r="C213" s="156">
        <f>IFERROR(SUMPRODUCT((MONTH($A$8:$A$207)=2)*(YEAR($A$8:$A$207)=2026)*($C$8:$C$207="Expense")*($E$8:$E$207)),0)</f>
        <v/>
      </c>
      <c r="D213" s="156">
        <f>IFERROR(SUMPRODUCT((MONTH($A$8:$A$207)=2)*(YEAR($A$8:$A$207)=2026)*($C$8:$C$207="Savings")*($E$8:$E$207)),0)</f>
        <v/>
      </c>
      <c r="E213" s="156">
        <f>B213-C213-D213</f>
        <v/>
      </c>
    </row>
    <row r="214">
      <c r="A214" s="155" t="inlineStr">
        <is>
          <t>Mar</t>
        </is>
      </c>
      <c r="B214" s="156">
        <f>IFERROR(SUMPRODUCT((MONTH($A$8:$A$207)=3)*(YEAR($A$8:$A$207)=2026)*($C$8:$C$207="Income")*($E$8:$E$207)),0)</f>
        <v/>
      </c>
      <c r="C214" s="156">
        <f>IFERROR(SUMPRODUCT((MONTH($A$8:$A$207)=3)*(YEAR($A$8:$A$207)=2026)*($C$8:$C$207="Expense")*($E$8:$E$207)),0)</f>
        <v/>
      </c>
      <c r="D214" s="156">
        <f>IFERROR(SUMPRODUCT((MONTH($A$8:$A$207)=3)*(YEAR($A$8:$A$207)=2026)*($C$8:$C$207="Savings")*($E$8:$E$207)),0)</f>
        <v/>
      </c>
      <c r="E214" s="156">
        <f>B214-C214-D214</f>
        <v/>
      </c>
    </row>
    <row r="215">
      <c r="A215" s="155" t="inlineStr">
        <is>
          <t>Apr</t>
        </is>
      </c>
      <c r="B215" s="156">
        <f>IFERROR(SUMPRODUCT((MONTH($A$8:$A$207)=4)*(YEAR($A$8:$A$207)=2026)*($C$8:$C$207="Income")*($E$8:$E$207)),0)</f>
        <v/>
      </c>
      <c r="C215" s="156">
        <f>IFERROR(SUMPRODUCT((MONTH($A$8:$A$207)=4)*(YEAR($A$8:$A$207)=2026)*($C$8:$C$207="Expense")*($E$8:$E$207)),0)</f>
        <v/>
      </c>
      <c r="D215" s="156">
        <f>IFERROR(SUMPRODUCT((MONTH($A$8:$A$207)=4)*(YEAR($A$8:$A$207)=2026)*($C$8:$C$207="Savings")*($E$8:$E$207)),0)</f>
        <v/>
      </c>
      <c r="E215" s="156">
        <f>B215-C215-D215</f>
        <v/>
      </c>
    </row>
    <row r="216">
      <c r="A216" s="155" t="inlineStr">
        <is>
          <t>May</t>
        </is>
      </c>
      <c r="B216" s="156">
        <f>IFERROR(SUMPRODUCT((MONTH($A$8:$A$207)=5)*(YEAR($A$8:$A$207)=2026)*($C$8:$C$207="Income")*($E$8:$E$207)),0)</f>
        <v/>
      </c>
      <c r="C216" s="156">
        <f>IFERROR(SUMPRODUCT((MONTH($A$8:$A$207)=5)*(YEAR($A$8:$A$207)=2026)*($C$8:$C$207="Expense")*($E$8:$E$207)),0)</f>
        <v/>
      </c>
      <c r="D216" s="156">
        <f>IFERROR(SUMPRODUCT((MONTH($A$8:$A$207)=5)*(YEAR($A$8:$A$207)=2026)*($C$8:$C$207="Savings")*($E$8:$E$207)),0)</f>
        <v/>
      </c>
      <c r="E216" s="156">
        <f>B216-C216-D216</f>
        <v/>
      </c>
    </row>
    <row r="217">
      <c r="A217" s="155" t="inlineStr">
        <is>
          <t>Jun</t>
        </is>
      </c>
      <c r="B217" s="156">
        <f>IFERROR(SUMPRODUCT((MONTH($A$8:$A$207)=6)*(YEAR($A$8:$A$207)=2026)*($C$8:$C$207="Income")*($E$8:$E$207)),0)</f>
        <v/>
      </c>
      <c r="C217" s="156">
        <f>IFERROR(SUMPRODUCT((MONTH($A$8:$A$207)=6)*(YEAR($A$8:$A$207)=2026)*($C$8:$C$207="Expense")*($E$8:$E$207)),0)</f>
        <v/>
      </c>
      <c r="D217" s="156">
        <f>IFERROR(SUMPRODUCT((MONTH($A$8:$A$207)=6)*(YEAR($A$8:$A$207)=2026)*($C$8:$C$207="Savings")*($E$8:$E$207)),0)</f>
        <v/>
      </c>
      <c r="E217" s="156">
        <f>B217-C217-D217</f>
        <v/>
      </c>
    </row>
    <row r="218">
      <c r="A218" s="155" t="inlineStr">
        <is>
          <t>Jul</t>
        </is>
      </c>
      <c r="B218" s="156">
        <f>IFERROR(SUMPRODUCT((MONTH($A$8:$A$207)=7)*(YEAR($A$8:$A$207)=2026)*($C$8:$C$207="Income")*($E$8:$E$207)),0)</f>
        <v/>
      </c>
      <c r="C218" s="156">
        <f>IFERROR(SUMPRODUCT((MONTH($A$8:$A$207)=7)*(YEAR($A$8:$A$207)=2026)*($C$8:$C$207="Expense")*($E$8:$E$207)),0)</f>
        <v/>
      </c>
      <c r="D218" s="156">
        <f>IFERROR(SUMPRODUCT((MONTH($A$8:$A$207)=7)*(YEAR($A$8:$A$207)=2026)*($C$8:$C$207="Savings")*($E$8:$E$207)),0)</f>
        <v/>
      </c>
      <c r="E218" s="156">
        <f>B218-C218-D218</f>
        <v/>
      </c>
    </row>
    <row r="219">
      <c r="A219" s="155" t="inlineStr">
        <is>
          <t>Aug</t>
        </is>
      </c>
      <c r="B219" s="156">
        <f>IFERROR(SUMPRODUCT((MONTH($A$8:$A$207)=8)*(YEAR($A$8:$A$207)=2026)*($C$8:$C$207="Income")*($E$8:$E$207)),0)</f>
        <v/>
      </c>
      <c r="C219" s="156">
        <f>IFERROR(SUMPRODUCT((MONTH($A$8:$A$207)=8)*(YEAR($A$8:$A$207)=2026)*($C$8:$C$207="Expense")*($E$8:$E$207)),0)</f>
        <v/>
      </c>
      <c r="D219" s="156">
        <f>IFERROR(SUMPRODUCT((MONTH($A$8:$A$207)=8)*(YEAR($A$8:$A$207)=2026)*($C$8:$C$207="Savings")*($E$8:$E$207)),0)</f>
        <v/>
      </c>
      <c r="E219" s="156">
        <f>B219-C219-D219</f>
        <v/>
      </c>
    </row>
    <row r="220">
      <c r="A220" s="155" t="inlineStr">
        <is>
          <t>Sep</t>
        </is>
      </c>
      <c r="B220" s="156">
        <f>IFERROR(SUMPRODUCT((MONTH($A$8:$A$207)=9)*(YEAR($A$8:$A$207)=2026)*($C$8:$C$207="Income")*($E$8:$E$207)),0)</f>
        <v/>
      </c>
      <c r="C220" s="156">
        <f>IFERROR(SUMPRODUCT((MONTH($A$8:$A$207)=9)*(YEAR($A$8:$A$207)=2026)*($C$8:$C$207="Expense")*($E$8:$E$207)),0)</f>
        <v/>
      </c>
      <c r="D220" s="156">
        <f>IFERROR(SUMPRODUCT((MONTH($A$8:$A$207)=9)*(YEAR($A$8:$A$207)=2026)*($C$8:$C$207="Savings")*($E$8:$E$207)),0)</f>
        <v/>
      </c>
      <c r="E220" s="156">
        <f>B220-C220-D220</f>
        <v/>
      </c>
    </row>
    <row r="221">
      <c r="A221" s="155" t="inlineStr">
        <is>
          <t>Oct</t>
        </is>
      </c>
      <c r="B221" s="156">
        <f>IFERROR(SUMPRODUCT((MONTH($A$8:$A$207)=10)*(YEAR($A$8:$A$207)=2026)*($C$8:$C$207="Income")*($E$8:$E$207)),0)</f>
        <v/>
      </c>
      <c r="C221" s="156">
        <f>IFERROR(SUMPRODUCT((MONTH($A$8:$A$207)=10)*(YEAR($A$8:$A$207)=2026)*($C$8:$C$207="Expense")*($E$8:$E$207)),0)</f>
        <v/>
      </c>
      <c r="D221" s="156">
        <f>IFERROR(SUMPRODUCT((MONTH($A$8:$A$207)=10)*(YEAR($A$8:$A$207)=2026)*($C$8:$C$207="Savings")*($E$8:$E$207)),0)</f>
        <v/>
      </c>
      <c r="E221" s="156">
        <f>B221-C221-D221</f>
        <v/>
      </c>
    </row>
    <row r="222">
      <c r="A222" s="155" t="inlineStr">
        <is>
          <t>Nov</t>
        </is>
      </c>
      <c r="B222" s="156">
        <f>IFERROR(SUMPRODUCT((MONTH($A$8:$A$207)=11)*(YEAR($A$8:$A$207)=2026)*($C$8:$C$207="Income")*($E$8:$E$207)),0)</f>
        <v/>
      </c>
      <c r="C222" s="156">
        <f>IFERROR(SUMPRODUCT((MONTH($A$8:$A$207)=11)*(YEAR($A$8:$A$207)=2026)*($C$8:$C$207="Expense")*($E$8:$E$207)),0)</f>
        <v/>
      </c>
      <c r="D222" s="156">
        <f>IFERROR(SUMPRODUCT((MONTH($A$8:$A$207)=11)*(YEAR($A$8:$A$207)=2026)*($C$8:$C$207="Savings")*($E$8:$E$207)),0)</f>
        <v/>
      </c>
      <c r="E222" s="156">
        <f>B222-C222-D222</f>
        <v/>
      </c>
    </row>
    <row r="223">
      <c r="A223" s="155" t="inlineStr">
        <is>
          <t>Dec</t>
        </is>
      </c>
      <c r="B223" s="156">
        <f>IFERROR(SUMPRODUCT((MONTH($A$8:$A$207)=12)*(YEAR($A$8:$A$207)=2026)*($C$8:$C$207="Income")*($E$8:$E$207)),0)</f>
        <v/>
      </c>
      <c r="C223" s="156">
        <f>IFERROR(SUMPRODUCT((MONTH($A$8:$A$207)=12)*(YEAR($A$8:$A$207)=2026)*($C$8:$C$207="Expense")*($E$8:$E$207)),0)</f>
        <v/>
      </c>
      <c r="D223" s="156">
        <f>IFERROR(SUMPRODUCT((MONTH($A$8:$A$207)=12)*(YEAR($A$8:$A$207)=2026)*($C$8:$C$207="Savings")*($E$8:$E$207)),0)</f>
        <v/>
      </c>
      <c r="E223" s="156">
        <f>B223-C223-D223</f>
        <v/>
      </c>
    </row>
  </sheetData>
  <mergeCells count="3">
    <mergeCell ref="A210:H210"/>
    <mergeCell ref="A2:H2"/>
    <mergeCell ref="A1:H1"/>
  </mergeCells>
  <conditionalFormatting sqref="A8:H207">
    <cfRule type="expression" priority="1" dxfId="68">
      <formula>$C8="Income"</formula>
    </cfRule>
    <cfRule type="expression" priority="2" dxfId="69">
      <formula>$C8="Expense"</formula>
    </cfRule>
    <cfRule type="expression" priority="3" dxfId="70">
      <formula>$C8="Savings"</formula>
    </cfRule>
    <cfRule type="expression" priority="4" dxfId="71">
      <formula>$G8="Yes"</formula>
    </cfRule>
  </conditionalFormatting>
  <conditionalFormatting sqref="F8:F207">
    <cfRule type="cellIs" priority="5" operator="greaterThan" dxfId="72">
      <formula>0</formula>
    </cfRule>
    <cfRule type="cellIs" priority="6" operator="lessThan" dxfId="73">
      <formula>0</formula>
    </cfRule>
  </conditionalFormatting>
  <conditionalFormatting sqref="E212:E223">
    <cfRule type="colorScale" priority="7">
      <colorScale>
        <cfvo type="min"/>
        <cfvo type="num" val="0"/>
        <cfvo type="max"/>
        <color rgb="00EF4444"/>
        <color rgb="00FFFF00"/>
        <color rgb="0022C55E"/>
      </colorScale>
    </cfRule>
  </conditionalFormatting>
  <dataValidations count="3">
    <dataValidation sqref="C8:C207" showDropDown="0" showInputMessage="0" showErrorMessage="1" allowBlank="1" errorTitle="Invalid Type" error="Choose Income, Expense, or Savings" type="list">
      <formula1>"Income,Expense,Savings"</formula1>
    </dataValidation>
    <dataValidation sqref="B8:B207" showDropDown="0" showInputMessage="0" showErrorMessage="1" allowBlank="1" errorTitle="Invalid Category" error="Select a category from the list" type="list">
      <formula1>'Dropdown Data'!$Q$2:$Q$21</formula1>
    </dataValidation>
    <dataValidation sqref="G8:G207" showDropDown="0" showInputMessage="0" showErrorMessage="0" allowBlank="1" type="list">
      <formula1>"Yes,No"</formula1>
    </dataValidation>
  </dataValidations>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xl/worksheets/sheet9.xml><?xml version="1.0" encoding="utf-8"?>
<worksheet xmlns="http://schemas.openxmlformats.org/spreadsheetml/2006/main">
  <sheetPr>
    <tabColor rgb="00A855F7"/>
    <outlinePr summaryBelow="1" summaryRight="1"/>
    <pageSetUpPr/>
  </sheetPr>
  <dimension ref="A1:I57"/>
  <sheetViews>
    <sheetView workbookViewId="0">
      <selection activeCell="A1" sqref="A1"/>
    </sheetView>
  </sheetViews>
  <sheetFormatPr baseColWidth="8" defaultRowHeight="15"/>
  <cols>
    <col width="22" customWidth="1" min="1" max="1"/>
    <col width="12" customWidth="1" min="2" max="2"/>
    <col width="14" customWidth="1" min="3" max="3"/>
    <col width="22" customWidth="1" min="4" max="4"/>
    <col width="18" customWidth="1" min="5" max="5"/>
    <col width="14" customWidth="1" min="6" max="6"/>
    <col width="16" customWidth="1" min="7" max="7"/>
    <col width="16" customWidth="1" min="8" max="8"/>
    <col width="14" customWidth="1" min="9" max="9"/>
  </cols>
  <sheetData>
    <row r="1" ht="30" customHeight="1">
      <c r="A1" s="157" t="inlineStr">
        <is>
          <t>🔄 SUBSCRIPTION TRACKER</t>
        </is>
      </c>
    </row>
    <row r="2" ht="20" customHeight="1">
      <c r="A2" s="142" t="inlineStr">
        <is>
          <t>Track recurring costs · Auto-detects paid/unpaid status based on Last Paid Date</t>
        </is>
      </c>
    </row>
    <row r="3" ht="20" customHeight="1">
      <c r="A3" s="143" t="inlineStr">
        <is>
          <t>MONTHLY COST</t>
        </is>
      </c>
      <c r="C3" s="143" t="inlineStr">
        <is>
          <t>ANNUAL COST</t>
        </is>
      </c>
      <c r="E3" s="143" t="inlineStr">
        <is>
          <t>ACTIVE SUBS</t>
        </is>
      </c>
      <c r="G3" s="143" t="inlineStr">
        <is>
          <t>UNPAID THIS MONTH</t>
        </is>
      </c>
    </row>
    <row r="4" ht="28" customHeight="1">
      <c r="A4" s="144">
        <f>IFERROR(SUMPRODUCT((I8:I207&lt;&gt;"")*H8:H207),0)</f>
        <v/>
      </c>
      <c r="C4" s="144">
        <f>IFERROR(SUMPRODUCT((I8:I207&lt;&gt;"")*H8:H207)*12,0)</f>
        <v/>
      </c>
      <c r="E4" s="158">
        <f>COUNTA(A8:A207)</f>
        <v/>
      </c>
      <c r="G4" s="158">
        <f>COUNTIF(I8:I207,"Unpaid")</f>
        <v/>
      </c>
    </row>
    <row r="5" ht="8" customHeight="1"/>
    <row r="6" ht="24" customHeight="1">
      <c r="A6" s="145" t="inlineStr">
        <is>
          <t>Service Name</t>
        </is>
      </c>
      <c r="B6" s="145" t="inlineStr">
        <is>
          <t>Billing Cycle</t>
        </is>
      </c>
      <c r="C6" s="145" t="inlineStr">
        <is>
          <t>Amount</t>
        </is>
      </c>
      <c r="D6" s="145" t="inlineStr">
        <is>
          <t>Category</t>
        </is>
      </c>
      <c r="E6" s="145" t="inlineStr">
        <is>
          <t>Notes</t>
        </is>
      </c>
      <c r="F6" s="145" t="inlineStr">
        <is>
          <t>Last Paid Date</t>
        </is>
      </c>
      <c r="G6" s="145" t="inlineStr">
        <is>
          <t>Monthly Equiv</t>
        </is>
      </c>
      <c r="H6" s="145" t="inlineStr">
        <is>
          <t>Monthly Cost</t>
        </is>
      </c>
      <c r="I6" s="145" t="inlineStr">
        <is>
          <t>Status</t>
        </is>
      </c>
    </row>
    <row r="7" ht="16" customHeight="1">
      <c r="A7" s="159" t="inlineStr">
        <is>
          <t>← Enter subscription details. Cycle: Monthly / Annual / Weekly. Last Paid Date auto-updates Status.</t>
        </is>
      </c>
    </row>
    <row r="8" ht="20" customHeight="1">
      <c r="A8" s="147" t="n"/>
      <c r="B8" s="147" t="n"/>
      <c r="C8" s="148" t="n"/>
      <c r="D8" s="147" t="n"/>
      <c r="E8" s="147" t="n"/>
      <c r="F8" s="146" t="n"/>
      <c r="G8" s="160">
        <f>IFERROR(IF(B8="Monthly",C8,IF(B8="Annual",C8/12,IF(B8="Weekly",C8*4.33,0))),"")</f>
        <v/>
      </c>
      <c r="H8" s="148">
        <f>IFERROR(IF(A8&lt;&gt;"",G8,""),"")</f>
        <v/>
      </c>
      <c r="I8" s="161">
        <f>IFERROR(IF(A8="","",IF(F8="","Unpaid",IF(AND(YEAR(F8)=YEAR(TODAY()),MONTH(F8)=MONTH(TODAY())),"Paid","Unpaid"))),"")</f>
        <v/>
      </c>
    </row>
    <row r="9" ht="20" customHeight="1">
      <c r="A9" s="151" t="n"/>
      <c r="B9" s="151" t="n"/>
      <c r="C9" s="152" t="n"/>
      <c r="D9" s="151" t="n"/>
      <c r="E9" s="151" t="n"/>
      <c r="F9" s="150" t="n"/>
      <c r="G9" s="162">
        <f>IFERROR(IF(B9="Monthly",C9,IF(B9="Annual",C9/12,IF(B9="Weekly",C9*4.33,0))),"")</f>
        <v/>
      </c>
      <c r="H9" s="152">
        <f>IFERROR(IF(A9&lt;&gt;"",G9,""),"")</f>
        <v/>
      </c>
      <c r="I9" s="163">
        <f>IFERROR(IF(A9="","",IF(F9="","Unpaid",IF(AND(YEAR(F9)=YEAR(TODAY()),MONTH(F9)=MONTH(TODAY())),"Paid","Unpaid"))),"")</f>
        <v/>
      </c>
    </row>
    <row r="10" ht="20" customHeight="1">
      <c r="A10" s="147" t="n"/>
      <c r="B10" s="147" t="n"/>
      <c r="C10" s="148" t="n"/>
      <c r="D10" s="147" t="n"/>
      <c r="E10" s="147" t="n"/>
      <c r="F10" s="146" t="n"/>
      <c r="G10" s="160">
        <f>IFERROR(IF(B10="Monthly",C10,IF(B10="Annual",C10/12,IF(B10="Weekly",C10*4.33,0))),"")</f>
        <v/>
      </c>
      <c r="H10" s="148">
        <f>IFERROR(IF(A10&lt;&gt;"",G10,""),"")</f>
        <v/>
      </c>
      <c r="I10" s="161">
        <f>IFERROR(IF(A10="","",IF(F10="","Unpaid",IF(AND(YEAR(F10)=YEAR(TODAY()),MONTH(F10)=MONTH(TODAY())),"Paid","Unpaid"))),"")</f>
        <v/>
      </c>
    </row>
    <row r="11" ht="20" customHeight="1">
      <c r="A11" s="151" t="n"/>
      <c r="B11" s="151" t="n"/>
      <c r="C11" s="152" t="n"/>
      <c r="D11" s="151" t="n"/>
      <c r="E11" s="151" t="n"/>
      <c r="F11" s="150" t="n"/>
      <c r="G11" s="162">
        <f>IFERROR(IF(B11="Monthly",C11,IF(B11="Annual",C11/12,IF(B11="Weekly",C11*4.33,0))),"")</f>
        <v/>
      </c>
      <c r="H11" s="152">
        <f>IFERROR(IF(A11&lt;&gt;"",G11,""),"")</f>
        <v/>
      </c>
      <c r="I11" s="163">
        <f>IFERROR(IF(A11="","",IF(F11="","Unpaid",IF(AND(YEAR(F11)=YEAR(TODAY()),MONTH(F11)=MONTH(TODAY())),"Paid","Unpaid"))),"")</f>
        <v/>
      </c>
    </row>
    <row r="12" ht="20" customHeight="1">
      <c r="A12" s="147" t="n"/>
      <c r="B12" s="147" t="n"/>
      <c r="C12" s="148" t="n"/>
      <c r="D12" s="147" t="n"/>
      <c r="E12" s="147" t="n"/>
      <c r="F12" s="146" t="n"/>
      <c r="G12" s="160">
        <f>IFERROR(IF(B12="Monthly",C12,IF(B12="Annual",C12/12,IF(B12="Weekly",C12*4.33,0))),"")</f>
        <v/>
      </c>
      <c r="H12" s="148">
        <f>IFERROR(IF(A12&lt;&gt;"",G12,""),"")</f>
        <v/>
      </c>
      <c r="I12" s="161">
        <f>IFERROR(IF(A12="","",IF(F12="","Unpaid",IF(AND(YEAR(F12)=YEAR(TODAY()),MONTH(F12)=MONTH(TODAY())),"Paid","Unpaid"))),"")</f>
        <v/>
      </c>
    </row>
    <row r="13" ht="20" customHeight="1">
      <c r="A13" s="151" t="n"/>
      <c r="B13" s="151" t="n"/>
      <c r="C13" s="152" t="n"/>
      <c r="D13" s="151" t="n"/>
      <c r="E13" s="151" t="n"/>
      <c r="F13" s="150" t="n"/>
      <c r="G13" s="162">
        <f>IFERROR(IF(B13="Monthly",C13,IF(B13="Annual",C13/12,IF(B13="Weekly",C13*4.33,0))),"")</f>
        <v/>
      </c>
      <c r="H13" s="152">
        <f>IFERROR(IF(A13&lt;&gt;"",G13,""),"")</f>
        <v/>
      </c>
      <c r="I13" s="163">
        <f>IFERROR(IF(A13="","",IF(F13="","Unpaid",IF(AND(YEAR(F13)=YEAR(TODAY()),MONTH(F13)=MONTH(TODAY())),"Paid","Unpaid"))),"")</f>
        <v/>
      </c>
    </row>
    <row r="14" ht="20" customHeight="1">
      <c r="A14" s="147" t="n"/>
      <c r="B14" s="147" t="n"/>
      <c r="C14" s="148" t="n"/>
      <c r="D14" s="147" t="n"/>
      <c r="E14" s="147" t="n"/>
      <c r="F14" s="146" t="n"/>
      <c r="G14" s="160">
        <f>IFERROR(IF(B14="Monthly",C14,IF(B14="Annual",C14/12,IF(B14="Weekly",C14*4.33,0))),"")</f>
        <v/>
      </c>
      <c r="H14" s="148">
        <f>IFERROR(IF(A14&lt;&gt;"",G14,""),"")</f>
        <v/>
      </c>
      <c r="I14" s="161">
        <f>IFERROR(IF(A14="","",IF(F14="","Unpaid",IF(AND(YEAR(F14)=YEAR(TODAY()),MONTH(F14)=MONTH(TODAY())),"Paid","Unpaid"))),"")</f>
        <v/>
      </c>
    </row>
    <row r="15" ht="20" customHeight="1">
      <c r="A15" s="151" t="n"/>
      <c r="B15" s="151" t="n"/>
      <c r="C15" s="152" t="n"/>
      <c r="D15" s="151" t="n"/>
      <c r="E15" s="151" t="n"/>
      <c r="F15" s="150" t="n"/>
      <c r="G15" s="162">
        <f>IFERROR(IF(B15="Monthly",C15,IF(B15="Annual",C15/12,IF(B15="Weekly",C15*4.33,0))),"")</f>
        <v/>
      </c>
      <c r="H15" s="152">
        <f>IFERROR(IF(A15&lt;&gt;"",G15,""),"")</f>
        <v/>
      </c>
      <c r="I15" s="163">
        <f>IFERROR(IF(A15="","",IF(F15="","Unpaid",IF(AND(YEAR(F15)=YEAR(TODAY()),MONTH(F15)=MONTH(TODAY())),"Paid","Unpaid"))),"")</f>
        <v/>
      </c>
    </row>
    <row r="16" ht="20" customHeight="1">
      <c r="A16" s="147" t="n"/>
      <c r="B16" s="147" t="n"/>
      <c r="C16" s="148" t="n"/>
      <c r="D16" s="147" t="n"/>
      <c r="E16" s="147" t="n"/>
      <c r="F16" s="146" t="n"/>
      <c r="G16" s="160">
        <f>IFERROR(IF(B16="Monthly",C16,IF(B16="Annual",C16/12,IF(B16="Weekly",C16*4.33,0))),"")</f>
        <v/>
      </c>
      <c r="H16" s="148">
        <f>IFERROR(IF(A16&lt;&gt;"",G16,""),"")</f>
        <v/>
      </c>
      <c r="I16" s="161">
        <f>IFERROR(IF(A16="","",IF(F16="","Unpaid",IF(AND(YEAR(F16)=YEAR(TODAY()),MONTH(F16)=MONTH(TODAY())),"Paid","Unpaid"))),"")</f>
        <v/>
      </c>
    </row>
    <row r="17" ht="20" customHeight="1">
      <c r="A17" s="151" t="n"/>
      <c r="B17" s="151" t="n"/>
      <c r="C17" s="152" t="n"/>
      <c r="D17" s="151" t="n"/>
      <c r="E17" s="151" t="n"/>
      <c r="F17" s="150" t="n"/>
      <c r="G17" s="162">
        <f>IFERROR(IF(B17="Monthly",C17,IF(B17="Annual",C17/12,IF(B17="Weekly",C17*4.33,0))),"")</f>
        <v/>
      </c>
      <c r="H17" s="152">
        <f>IFERROR(IF(A17&lt;&gt;"",G17,""),"")</f>
        <v/>
      </c>
      <c r="I17" s="163">
        <f>IFERROR(IF(A17="","",IF(F17="","Unpaid",IF(AND(YEAR(F17)=YEAR(TODAY()),MONTH(F17)=MONTH(TODAY())),"Paid","Unpaid"))),"")</f>
        <v/>
      </c>
    </row>
    <row r="18" ht="20" customHeight="1">
      <c r="A18" s="147" t="n"/>
      <c r="B18" s="147" t="n"/>
      <c r="C18" s="148" t="n"/>
      <c r="D18" s="147" t="n"/>
      <c r="E18" s="147" t="n"/>
      <c r="F18" s="146" t="n"/>
      <c r="G18" s="160">
        <f>IFERROR(IF(B18="Monthly",C18,IF(B18="Annual",C18/12,IF(B18="Weekly",C18*4.33,0))),"")</f>
        <v/>
      </c>
      <c r="H18" s="148">
        <f>IFERROR(IF(A18&lt;&gt;"",G18,""),"")</f>
        <v/>
      </c>
      <c r="I18" s="161">
        <f>IFERROR(IF(A18="","",IF(F18="","Unpaid",IF(AND(YEAR(F18)=YEAR(TODAY()),MONTH(F18)=MONTH(TODAY())),"Paid","Unpaid"))),"")</f>
        <v/>
      </c>
    </row>
    <row r="19" ht="20" customHeight="1">
      <c r="A19" s="151" t="n"/>
      <c r="B19" s="151" t="n"/>
      <c r="C19" s="152" t="n"/>
      <c r="D19" s="151" t="n"/>
      <c r="E19" s="151" t="n"/>
      <c r="F19" s="150" t="n"/>
      <c r="G19" s="162">
        <f>IFERROR(IF(B19="Monthly",C19,IF(B19="Annual",C19/12,IF(B19="Weekly",C19*4.33,0))),"")</f>
        <v/>
      </c>
      <c r="H19" s="152">
        <f>IFERROR(IF(A19&lt;&gt;"",G19,""),"")</f>
        <v/>
      </c>
      <c r="I19" s="163">
        <f>IFERROR(IF(A19="","",IF(F19="","Unpaid",IF(AND(YEAR(F19)=YEAR(TODAY()),MONTH(F19)=MONTH(TODAY())),"Paid","Unpaid"))),"")</f>
        <v/>
      </c>
    </row>
    <row r="20" ht="20" customHeight="1">
      <c r="A20" s="147" t="n"/>
      <c r="B20" s="147" t="n"/>
      <c r="C20" s="148" t="n"/>
      <c r="D20" s="147" t="n"/>
      <c r="E20" s="147" t="n"/>
      <c r="F20" s="146" t="n"/>
      <c r="G20" s="160">
        <f>IFERROR(IF(B20="Monthly",C20,IF(B20="Annual",C20/12,IF(B20="Weekly",C20*4.33,0))),"")</f>
        <v/>
      </c>
      <c r="H20" s="148">
        <f>IFERROR(IF(A20&lt;&gt;"",G20,""),"")</f>
        <v/>
      </c>
      <c r="I20" s="161">
        <f>IFERROR(IF(A20="","",IF(F20="","Unpaid",IF(AND(YEAR(F20)=YEAR(TODAY()),MONTH(F20)=MONTH(TODAY())),"Paid","Unpaid"))),"")</f>
        <v/>
      </c>
    </row>
    <row r="21" ht="20" customHeight="1">
      <c r="A21" s="151" t="n"/>
      <c r="B21" s="151" t="n"/>
      <c r="C21" s="152" t="n"/>
      <c r="D21" s="151" t="n"/>
      <c r="E21" s="151" t="n"/>
      <c r="F21" s="150" t="n"/>
      <c r="G21" s="162">
        <f>IFERROR(IF(B21="Monthly",C21,IF(B21="Annual",C21/12,IF(B21="Weekly",C21*4.33,0))),"")</f>
        <v/>
      </c>
      <c r="H21" s="152">
        <f>IFERROR(IF(A21&lt;&gt;"",G21,""),"")</f>
        <v/>
      </c>
      <c r="I21" s="163">
        <f>IFERROR(IF(A21="","",IF(F21="","Unpaid",IF(AND(YEAR(F21)=YEAR(TODAY()),MONTH(F21)=MONTH(TODAY())),"Paid","Unpaid"))),"")</f>
        <v/>
      </c>
    </row>
    <row r="22" ht="20" customHeight="1">
      <c r="A22" s="147" t="n"/>
      <c r="B22" s="147" t="n"/>
      <c r="C22" s="148" t="n"/>
      <c r="D22" s="147" t="n"/>
      <c r="E22" s="147" t="n"/>
      <c r="F22" s="146" t="n"/>
      <c r="G22" s="160">
        <f>IFERROR(IF(B22="Monthly",C22,IF(B22="Annual",C22/12,IF(B22="Weekly",C22*4.33,0))),"")</f>
        <v/>
      </c>
      <c r="H22" s="148">
        <f>IFERROR(IF(A22&lt;&gt;"",G22,""),"")</f>
        <v/>
      </c>
      <c r="I22" s="161">
        <f>IFERROR(IF(A22="","",IF(F22="","Unpaid",IF(AND(YEAR(F22)=YEAR(TODAY()),MONTH(F22)=MONTH(TODAY())),"Paid","Unpaid"))),"")</f>
        <v/>
      </c>
    </row>
    <row r="23" ht="20" customHeight="1">
      <c r="A23" s="151" t="n"/>
      <c r="B23" s="151" t="n"/>
      <c r="C23" s="152" t="n"/>
      <c r="D23" s="151" t="n"/>
      <c r="E23" s="151" t="n"/>
      <c r="F23" s="150" t="n"/>
      <c r="G23" s="162">
        <f>IFERROR(IF(B23="Monthly",C23,IF(B23="Annual",C23/12,IF(B23="Weekly",C23*4.33,0))),"")</f>
        <v/>
      </c>
      <c r="H23" s="152">
        <f>IFERROR(IF(A23&lt;&gt;"",G23,""),"")</f>
        <v/>
      </c>
      <c r="I23" s="163">
        <f>IFERROR(IF(A23="","",IF(F23="","Unpaid",IF(AND(YEAR(F23)=YEAR(TODAY()),MONTH(F23)=MONTH(TODAY())),"Paid","Unpaid"))),"")</f>
        <v/>
      </c>
    </row>
    <row r="24" ht="20" customHeight="1">
      <c r="A24" s="147" t="n"/>
      <c r="B24" s="147" t="n"/>
      <c r="C24" s="148" t="n"/>
      <c r="D24" s="147" t="n"/>
      <c r="E24" s="147" t="n"/>
      <c r="F24" s="146" t="n"/>
      <c r="G24" s="160">
        <f>IFERROR(IF(B24="Monthly",C24,IF(B24="Annual",C24/12,IF(B24="Weekly",C24*4.33,0))),"")</f>
        <v/>
      </c>
      <c r="H24" s="148">
        <f>IFERROR(IF(A24&lt;&gt;"",G24,""),"")</f>
        <v/>
      </c>
      <c r="I24" s="161">
        <f>IFERROR(IF(A24="","",IF(F24="","Unpaid",IF(AND(YEAR(F24)=YEAR(TODAY()),MONTH(F24)=MONTH(TODAY())),"Paid","Unpaid"))),"")</f>
        <v/>
      </c>
    </row>
    <row r="25" ht="20" customHeight="1">
      <c r="A25" s="151" t="n"/>
      <c r="B25" s="151" t="n"/>
      <c r="C25" s="152" t="n"/>
      <c r="D25" s="151" t="n"/>
      <c r="E25" s="151" t="n"/>
      <c r="F25" s="150" t="n"/>
      <c r="G25" s="162">
        <f>IFERROR(IF(B25="Monthly",C25,IF(B25="Annual",C25/12,IF(B25="Weekly",C25*4.33,0))),"")</f>
        <v/>
      </c>
      <c r="H25" s="152">
        <f>IFERROR(IF(A25&lt;&gt;"",G25,""),"")</f>
        <v/>
      </c>
      <c r="I25" s="163">
        <f>IFERROR(IF(A25="","",IF(F25="","Unpaid",IF(AND(YEAR(F25)=YEAR(TODAY()),MONTH(F25)=MONTH(TODAY())),"Paid","Unpaid"))),"")</f>
        <v/>
      </c>
    </row>
    <row r="26" ht="20" customHeight="1">
      <c r="A26" s="147" t="n"/>
      <c r="B26" s="147" t="n"/>
      <c r="C26" s="148" t="n"/>
      <c r="D26" s="147" t="n"/>
      <c r="E26" s="147" t="n"/>
      <c r="F26" s="146" t="n"/>
      <c r="G26" s="160">
        <f>IFERROR(IF(B26="Monthly",C26,IF(B26="Annual",C26/12,IF(B26="Weekly",C26*4.33,0))),"")</f>
        <v/>
      </c>
      <c r="H26" s="148">
        <f>IFERROR(IF(A26&lt;&gt;"",G26,""),"")</f>
        <v/>
      </c>
      <c r="I26" s="161">
        <f>IFERROR(IF(A26="","",IF(F26="","Unpaid",IF(AND(YEAR(F26)=YEAR(TODAY()),MONTH(F26)=MONTH(TODAY())),"Paid","Unpaid"))),"")</f>
        <v/>
      </c>
    </row>
    <row r="27" ht="20" customHeight="1">
      <c r="A27" s="151" t="n"/>
      <c r="B27" s="151" t="n"/>
      <c r="C27" s="152" t="n"/>
      <c r="D27" s="151" t="n"/>
      <c r="E27" s="151" t="n"/>
      <c r="F27" s="150" t="n"/>
      <c r="G27" s="162">
        <f>IFERROR(IF(B27="Monthly",C27,IF(B27="Annual",C27/12,IF(B27="Weekly",C27*4.33,0))),"")</f>
        <v/>
      </c>
      <c r="H27" s="152">
        <f>IFERROR(IF(A27&lt;&gt;"",G27,""),"")</f>
        <v/>
      </c>
      <c r="I27" s="163">
        <f>IFERROR(IF(A27="","",IF(F27="","Unpaid",IF(AND(YEAR(F27)=YEAR(TODAY()),MONTH(F27)=MONTH(TODAY())),"Paid","Unpaid"))),"")</f>
        <v/>
      </c>
    </row>
    <row r="28" ht="20" customHeight="1">
      <c r="A28" s="147" t="n"/>
      <c r="B28" s="147" t="n"/>
      <c r="C28" s="148" t="n"/>
      <c r="D28" s="147" t="n"/>
      <c r="E28" s="147" t="n"/>
      <c r="F28" s="146" t="n"/>
      <c r="G28" s="160">
        <f>IFERROR(IF(B28="Monthly",C28,IF(B28="Annual",C28/12,IF(B28="Weekly",C28*4.33,0))),"")</f>
        <v/>
      </c>
      <c r="H28" s="148">
        <f>IFERROR(IF(A28&lt;&gt;"",G28,""),"")</f>
        <v/>
      </c>
      <c r="I28" s="161">
        <f>IFERROR(IF(A28="","",IF(F28="","Unpaid",IF(AND(YEAR(F28)=YEAR(TODAY()),MONTH(F28)=MONTH(TODAY())),"Paid","Unpaid"))),"")</f>
        <v/>
      </c>
    </row>
    <row r="29" ht="20" customHeight="1">
      <c r="A29" s="151" t="n"/>
      <c r="B29" s="151" t="n"/>
      <c r="C29" s="152" t="n"/>
      <c r="D29" s="151" t="n"/>
      <c r="E29" s="151" t="n"/>
      <c r="F29" s="150" t="n"/>
      <c r="G29" s="162">
        <f>IFERROR(IF(B29="Monthly",C29,IF(B29="Annual",C29/12,IF(B29="Weekly",C29*4.33,0))),"")</f>
        <v/>
      </c>
      <c r="H29" s="152">
        <f>IFERROR(IF(A29&lt;&gt;"",G29,""),"")</f>
        <v/>
      </c>
      <c r="I29" s="163">
        <f>IFERROR(IF(A29="","",IF(F29="","Unpaid",IF(AND(YEAR(F29)=YEAR(TODAY()),MONTH(F29)=MONTH(TODAY())),"Paid","Unpaid"))),"")</f>
        <v/>
      </c>
    </row>
    <row r="30" ht="20" customHeight="1">
      <c r="A30" s="147" t="n"/>
      <c r="B30" s="147" t="n"/>
      <c r="C30" s="148" t="n"/>
      <c r="D30" s="147" t="n"/>
      <c r="E30" s="147" t="n"/>
      <c r="F30" s="146" t="n"/>
      <c r="G30" s="160">
        <f>IFERROR(IF(B30="Monthly",C30,IF(B30="Annual",C30/12,IF(B30="Weekly",C30*4.33,0))),"")</f>
        <v/>
      </c>
      <c r="H30" s="148">
        <f>IFERROR(IF(A30&lt;&gt;"",G30,""),"")</f>
        <v/>
      </c>
      <c r="I30" s="161">
        <f>IFERROR(IF(A30="","",IF(F30="","Unpaid",IF(AND(YEAR(F30)=YEAR(TODAY()),MONTH(F30)=MONTH(TODAY())),"Paid","Unpaid"))),"")</f>
        <v/>
      </c>
    </row>
    <row r="31" ht="20" customHeight="1">
      <c r="A31" s="151" t="n"/>
      <c r="B31" s="151" t="n"/>
      <c r="C31" s="152" t="n"/>
      <c r="D31" s="151" t="n"/>
      <c r="E31" s="151" t="n"/>
      <c r="F31" s="150" t="n"/>
      <c r="G31" s="162">
        <f>IFERROR(IF(B31="Monthly",C31,IF(B31="Annual",C31/12,IF(B31="Weekly",C31*4.33,0))),"")</f>
        <v/>
      </c>
      <c r="H31" s="152">
        <f>IFERROR(IF(A31&lt;&gt;"",G31,""),"")</f>
        <v/>
      </c>
      <c r="I31" s="163">
        <f>IFERROR(IF(A31="","",IF(F31="","Unpaid",IF(AND(YEAR(F31)=YEAR(TODAY()),MONTH(F31)=MONTH(TODAY())),"Paid","Unpaid"))),"")</f>
        <v/>
      </c>
    </row>
    <row r="32" ht="20" customHeight="1">
      <c r="A32" s="147" t="n"/>
      <c r="B32" s="147" t="n"/>
      <c r="C32" s="148" t="n"/>
      <c r="D32" s="147" t="n"/>
      <c r="E32" s="147" t="n"/>
      <c r="F32" s="146" t="n"/>
      <c r="G32" s="160">
        <f>IFERROR(IF(B32="Monthly",C32,IF(B32="Annual",C32/12,IF(B32="Weekly",C32*4.33,0))),"")</f>
        <v/>
      </c>
      <c r="H32" s="148">
        <f>IFERROR(IF(A32&lt;&gt;"",G32,""),"")</f>
        <v/>
      </c>
      <c r="I32" s="161">
        <f>IFERROR(IF(A32="","",IF(F32="","Unpaid",IF(AND(YEAR(F32)=YEAR(TODAY()),MONTH(F32)=MONTH(TODAY())),"Paid","Unpaid"))),"")</f>
        <v/>
      </c>
    </row>
    <row r="33" ht="20" customHeight="1">
      <c r="A33" s="151" t="n"/>
      <c r="B33" s="151" t="n"/>
      <c r="C33" s="152" t="n"/>
      <c r="D33" s="151" t="n"/>
      <c r="E33" s="151" t="n"/>
      <c r="F33" s="150" t="n"/>
      <c r="G33" s="162">
        <f>IFERROR(IF(B33="Monthly",C33,IF(B33="Annual",C33/12,IF(B33="Weekly",C33*4.33,0))),"")</f>
        <v/>
      </c>
      <c r="H33" s="152">
        <f>IFERROR(IF(A33&lt;&gt;"",G33,""),"")</f>
        <v/>
      </c>
      <c r="I33" s="163">
        <f>IFERROR(IF(A33="","",IF(F33="","Unpaid",IF(AND(YEAR(F33)=YEAR(TODAY()),MONTH(F33)=MONTH(TODAY())),"Paid","Unpaid"))),"")</f>
        <v/>
      </c>
    </row>
    <row r="34" ht="20" customHeight="1">
      <c r="A34" s="147" t="n"/>
      <c r="B34" s="147" t="n"/>
      <c r="C34" s="148" t="n"/>
      <c r="D34" s="147" t="n"/>
      <c r="E34" s="147" t="n"/>
      <c r="F34" s="146" t="n"/>
      <c r="G34" s="160">
        <f>IFERROR(IF(B34="Monthly",C34,IF(B34="Annual",C34/12,IF(B34="Weekly",C34*4.33,0))),"")</f>
        <v/>
      </c>
      <c r="H34" s="148">
        <f>IFERROR(IF(A34&lt;&gt;"",G34,""),"")</f>
        <v/>
      </c>
      <c r="I34" s="161">
        <f>IFERROR(IF(A34="","",IF(F34="","Unpaid",IF(AND(YEAR(F34)=YEAR(TODAY()),MONTH(F34)=MONTH(TODAY())),"Paid","Unpaid"))),"")</f>
        <v/>
      </c>
    </row>
    <row r="35" ht="20" customHeight="1">
      <c r="A35" s="151" t="n"/>
      <c r="B35" s="151" t="n"/>
      <c r="C35" s="152" t="n"/>
      <c r="D35" s="151" t="n"/>
      <c r="E35" s="151" t="n"/>
      <c r="F35" s="150" t="n"/>
      <c r="G35" s="162">
        <f>IFERROR(IF(B35="Monthly",C35,IF(B35="Annual",C35/12,IF(B35="Weekly",C35*4.33,0))),"")</f>
        <v/>
      </c>
      <c r="H35" s="152">
        <f>IFERROR(IF(A35&lt;&gt;"",G35,""),"")</f>
        <v/>
      </c>
      <c r="I35" s="163">
        <f>IFERROR(IF(A35="","",IF(F35="","Unpaid",IF(AND(YEAR(F35)=YEAR(TODAY()),MONTH(F35)=MONTH(TODAY())),"Paid","Unpaid"))),"")</f>
        <v/>
      </c>
    </row>
    <row r="36" ht="20" customHeight="1">
      <c r="A36" s="147" t="n"/>
      <c r="B36" s="147" t="n"/>
      <c r="C36" s="148" t="n"/>
      <c r="D36" s="147" t="n"/>
      <c r="E36" s="147" t="n"/>
      <c r="F36" s="146" t="n"/>
      <c r="G36" s="160">
        <f>IFERROR(IF(B36="Monthly",C36,IF(B36="Annual",C36/12,IF(B36="Weekly",C36*4.33,0))),"")</f>
        <v/>
      </c>
      <c r="H36" s="148">
        <f>IFERROR(IF(A36&lt;&gt;"",G36,""),"")</f>
        <v/>
      </c>
      <c r="I36" s="161">
        <f>IFERROR(IF(A36="","",IF(F36="","Unpaid",IF(AND(YEAR(F36)=YEAR(TODAY()),MONTH(F36)=MONTH(TODAY())),"Paid","Unpaid"))),"")</f>
        <v/>
      </c>
    </row>
    <row r="37" ht="20" customHeight="1">
      <c r="A37" s="151" t="n"/>
      <c r="B37" s="151" t="n"/>
      <c r="C37" s="152" t="n"/>
      <c r="D37" s="151" t="n"/>
      <c r="E37" s="151" t="n"/>
      <c r="F37" s="150" t="n"/>
      <c r="G37" s="162">
        <f>IFERROR(IF(B37="Monthly",C37,IF(B37="Annual",C37/12,IF(B37="Weekly",C37*4.33,0))),"")</f>
        <v/>
      </c>
      <c r="H37" s="152">
        <f>IFERROR(IF(A37&lt;&gt;"",G37,""),"")</f>
        <v/>
      </c>
      <c r="I37" s="163">
        <f>IFERROR(IF(A37="","",IF(F37="","Unpaid",IF(AND(YEAR(F37)=YEAR(TODAY()),MONTH(F37)=MONTH(TODAY())),"Paid","Unpaid"))),"")</f>
        <v/>
      </c>
    </row>
    <row r="38" ht="20" customHeight="1">
      <c r="A38" s="147" t="n"/>
      <c r="B38" s="147" t="n"/>
      <c r="C38" s="148" t="n"/>
      <c r="D38" s="147" t="n"/>
      <c r="E38" s="147" t="n"/>
      <c r="F38" s="146" t="n"/>
      <c r="G38" s="160">
        <f>IFERROR(IF(B38="Monthly",C38,IF(B38="Annual",C38/12,IF(B38="Weekly",C38*4.33,0))),"")</f>
        <v/>
      </c>
      <c r="H38" s="148">
        <f>IFERROR(IF(A38&lt;&gt;"",G38,""),"")</f>
        <v/>
      </c>
      <c r="I38" s="161">
        <f>IFERROR(IF(A38="","",IF(F38="","Unpaid",IF(AND(YEAR(F38)=YEAR(TODAY()),MONTH(F38)=MONTH(TODAY())),"Paid","Unpaid"))),"")</f>
        <v/>
      </c>
    </row>
    <row r="39" ht="20" customHeight="1">
      <c r="A39" s="151" t="n"/>
      <c r="B39" s="151" t="n"/>
      <c r="C39" s="152" t="n"/>
      <c r="D39" s="151" t="n"/>
      <c r="E39" s="151" t="n"/>
      <c r="F39" s="150" t="n"/>
      <c r="G39" s="162">
        <f>IFERROR(IF(B39="Monthly",C39,IF(B39="Annual",C39/12,IF(B39="Weekly",C39*4.33,0))),"")</f>
        <v/>
      </c>
      <c r="H39" s="152">
        <f>IFERROR(IF(A39&lt;&gt;"",G39,""),"")</f>
        <v/>
      </c>
      <c r="I39" s="163">
        <f>IFERROR(IF(A39="","",IF(F39="","Unpaid",IF(AND(YEAR(F39)=YEAR(TODAY()),MONTH(F39)=MONTH(TODAY())),"Paid","Unpaid"))),"")</f>
        <v/>
      </c>
    </row>
    <row r="40" ht="20" customHeight="1">
      <c r="A40" s="147" t="n"/>
      <c r="B40" s="147" t="n"/>
      <c r="C40" s="148" t="n"/>
      <c r="D40" s="147" t="n"/>
      <c r="E40" s="147" t="n"/>
      <c r="F40" s="146" t="n"/>
      <c r="G40" s="160">
        <f>IFERROR(IF(B40="Monthly",C40,IF(B40="Annual",C40/12,IF(B40="Weekly",C40*4.33,0))),"")</f>
        <v/>
      </c>
      <c r="H40" s="148">
        <f>IFERROR(IF(A40&lt;&gt;"",G40,""),"")</f>
        <v/>
      </c>
      <c r="I40" s="161">
        <f>IFERROR(IF(A40="","",IF(F40="","Unpaid",IF(AND(YEAR(F40)=YEAR(TODAY()),MONTH(F40)=MONTH(TODAY())),"Paid","Unpaid"))),"")</f>
        <v/>
      </c>
    </row>
    <row r="41" ht="20" customHeight="1">
      <c r="A41" s="151" t="n"/>
      <c r="B41" s="151" t="n"/>
      <c r="C41" s="152" t="n"/>
      <c r="D41" s="151" t="n"/>
      <c r="E41" s="151" t="n"/>
      <c r="F41" s="150" t="n"/>
      <c r="G41" s="162">
        <f>IFERROR(IF(B41="Monthly",C41,IF(B41="Annual",C41/12,IF(B41="Weekly",C41*4.33,0))),"")</f>
        <v/>
      </c>
      <c r="H41" s="152">
        <f>IFERROR(IF(A41&lt;&gt;"",G41,""),"")</f>
        <v/>
      </c>
      <c r="I41" s="163">
        <f>IFERROR(IF(A41="","",IF(F41="","Unpaid",IF(AND(YEAR(F41)=YEAR(TODAY()),MONTH(F41)=MONTH(TODAY())),"Paid","Unpaid"))),"")</f>
        <v/>
      </c>
    </row>
    <row r="42" ht="20" customHeight="1">
      <c r="A42" s="147" t="n"/>
      <c r="B42" s="147" t="n"/>
      <c r="C42" s="148" t="n"/>
      <c r="D42" s="147" t="n"/>
      <c r="E42" s="147" t="n"/>
      <c r="F42" s="146" t="n"/>
      <c r="G42" s="160">
        <f>IFERROR(IF(B42="Monthly",C42,IF(B42="Annual",C42/12,IF(B42="Weekly",C42*4.33,0))),"")</f>
        <v/>
      </c>
      <c r="H42" s="148">
        <f>IFERROR(IF(A42&lt;&gt;"",G42,""),"")</f>
        <v/>
      </c>
      <c r="I42" s="161">
        <f>IFERROR(IF(A42="","",IF(F42="","Unpaid",IF(AND(YEAR(F42)=YEAR(TODAY()),MONTH(F42)=MONTH(TODAY())),"Paid","Unpaid"))),"")</f>
        <v/>
      </c>
    </row>
    <row r="43" ht="20" customHeight="1">
      <c r="A43" s="151" t="n"/>
      <c r="B43" s="151" t="n"/>
      <c r="C43" s="152" t="n"/>
      <c r="D43" s="151" t="n"/>
      <c r="E43" s="151" t="n"/>
      <c r="F43" s="150" t="n"/>
      <c r="G43" s="162">
        <f>IFERROR(IF(B43="Monthly",C43,IF(B43="Annual",C43/12,IF(B43="Weekly",C43*4.33,0))),"")</f>
        <v/>
      </c>
      <c r="H43" s="152">
        <f>IFERROR(IF(A43&lt;&gt;"",G43,""),"")</f>
        <v/>
      </c>
      <c r="I43" s="163">
        <f>IFERROR(IF(A43="","",IF(F43="","Unpaid",IF(AND(YEAR(F43)=YEAR(TODAY()),MONTH(F43)=MONTH(TODAY())),"Paid","Unpaid"))),"")</f>
        <v/>
      </c>
    </row>
    <row r="44" ht="20" customHeight="1">
      <c r="A44" s="147" t="n"/>
      <c r="B44" s="147" t="n"/>
      <c r="C44" s="148" t="n"/>
      <c r="D44" s="147" t="n"/>
      <c r="E44" s="147" t="n"/>
      <c r="F44" s="146" t="n"/>
      <c r="G44" s="160">
        <f>IFERROR(IF(B44="Monthly",C44,IF(B44="Annual",C44/12,IF(B44="Weekly",C44*4.33,0))),"")</f>
        <v/>
      </c>
      <c r="H44" s="148">
        <f>IFERROR(IF(A44&lt;&gt;"",G44,""),"")</f>
        <v/>
      </c>
      <c r="I44" s="161">
        <f>IFERROR(IF(A44="","",IF(F44="","Unpaid",IF(AND(YEAR(F44)=YEAR(TODAY()),MONTH(F44)=MONTH(TODAY())),"Paid","Unpaid"))),"")</f>
        <v/>
      </c>
    </row>
    <row r="45" ht="20" customHeight="1">
      <c r="A45" s="151" t="n"/>
      <c r="B45" s="151" t="n"/>
      <c r="C45" s="152" t="n"/>
      <c r="D45" s="151" t="n"/>
      <c r="E45" s="151" t="n"/>
      <c r="F45" s="150" t="n"/>
      <c r="G45" s="162">
        <f>IFERROR(IF(B45="Monthly",C45,IF(B45="Annual",C45/12,IF(B45="Weekly",C45*4.33,0))),"")</f>
        <v/>
      </c>
      <c r="H45" s="152">
        <f>IFERROR(IF(A45&lt;&gt;"",G45,""),"")</f>
        <v/>
      </c>
      <c r="I45" s="163">
        <f>IFERROR(IF(A45="","",IF(F45="","Unpaid",IF(AND(YEAR(F45)=YEAR(TODAY()),MONTH(F45)=MONTH(TODAY())),"Paid","Unpaid"))),"")</f>
        <v/>
      </c>
    </row>
    <row r="46" ht="20" customHeight="1">
      <c r="A46" s="147" t="n"/>
      <c r="B46" s="147" t="n"/>
      <c r="C46" s="148" t="n"/>
      <c r="D46" s="147" t="n"/>
      <c r="E46" s="147" t="n"/>
      <c r="F46" s="146" t="n"/>
      <c r="G46" s="160">
        <f>IFERROR(IF(B46="Monthly",C46,IF(B46="Annual",C46/12,IF(B46="Weekly",C46*4.33,0))),"")</f>
        <v/>
      </c>
      <c r="H46" s="148">
        <f>IFERROR(IF(A46&lt;&gt;"",G46,""),"")</f>
        <v/>
      </c>
      <c r="I46" s="161">
        <f>IFERROR(IF(A46="","",IF(F46="","Unpaid",IF(AND(YEAR(F46)=YEAR(TODAY()),MONTH(F46)=MONTH(TODAY())),"Paid","Unpaid"))),"")</f>
        <v/>
      </c>
    </row>
    <row r="47" ht="20" customHeight="1">
      <c r="A47" s="151" t="n"/>
      <c r="B47" s="151" t="n"/>
      <c r="C47" s="152" t="n"/>
      <c r="D47" s="151" t="n"/>
      <c r="E47" s="151" t="n"/>
      <c r="F47" s="150" t="n"/>
      <c r="G47" s="162">
        <f>IFERROR(IF(B47="Monthly",C47,IF(B47="Annual",C47/12,IF(B47="Weekly",C47*4.33,0))),"")</f>
        <v/>
      </c>
      <c r="H47" s="152">
        <f>IFERROR(IF(A47&lt;&gt;"",G47,""),"")</f>
        <v/>
      </c>
      <c r="I47" s="163">
        <f>IFERROR(IF(A47="","",IF(F47="","Unpaid",IF(AND(YEAR(F47)=YEAR(TODAY()),MONTH(F47)=MONTH(TODAY())),"Paid","Unpaid"))),"")</f>
        <v/>
      </c>
    </row>
    <row r="48" ht="20" customHeight="1">
      <c r="A48" s="147" t="n"/>
      <c r="B48" s="147" t="n"/>
      <c r="C48" s="148" t="n"/>
      <c r="D48" s="147" t="n"/>
      <c r="E48" s="147" t="n"/>
      <c r="F48" s="146" t="n"/>
      <c r="G48" s="160">
        <f>IFERROR(IF(B48="Monthly",C48,IF(B48="Annual",C48/12,IF(B48="Weekly",C48*4.33,0))),"")</f>
        <v/>
      </c>
      <c r="H48" s="148">
        <f>IFERROR(IF(A48&lt;&gt;"",G48,""),"")</f>
        <v/>
      </c>
      <c r="I48" s="161">
        <f>IFERROR(IF(A48="","",IF(F48="","Unpaid",IF(AND(YEAR(F48)=YEAR(TODAY()),MONTH(F48)=MONTH(TODAY())),"Paid","Unpaid"))),"")</f>
        <v/>
      </c>
    </row>
    <row r="49" ht="20" customHeight="1">
      <c r="A49" s="151" t="n"/>
      <c r="B49" s="151" t="n"/>
      <c r="C49" s="152" t="n"/>
      <c r="D49" s="151" t="n"/>
      <c r="E49" s="151" t="n"/>
      <c r="F49" s="150" t="n"/>
      <c r="G49" s="162">
        <f>IFERROR(IF(B49="Monthly",C49,IF(B49="Annual",C49/12,IF(B49="Weekly",C49*4.33,0))),"")</f>
        <v/>
      </c>
      <c r="H49" s="152">
        <f>IFERROR(IF(A49&lt;&gt;"",G49,""),"")</f>
        <v/>
      </c>
      <c r="I49" s="163">
        <f>IFERROR(IF(A49="","",IF(F49="","Unpaid",IF(AND(YEAR(F49)=YEAR(TODAY()),MONTH(F49)=MONTH(TODAY())),"Paid","Unpaid"))),"")</f>
        <v/>
      </c>
    </row>
    <row r="50" ht="20" customHeight="1">
      <c r="A50" s="147" t="n"/>
      <c r="B50" s="147" t="n"/>
      <c r="C50" s="148" t="n"/>
      <c r="D50" s="147" t="n"/>
      <c r="E50" s="147" t="n"/>
      <c r="F50" s="146" t="n"/>
      <c r="G50" s="160">
        <f>IFERROR(IF(B50="Monthly",C50,IF(B50="Annual",C50/12,IF(B50="Weekly",C50*4.33,0))),"")</f>
        <v/>
      </c>
      <c r="H50" s="148">
        <f>IFERROR(IF(A50&lt;&gt;"",G50,""),"")</f>
        <v/>
      </c>
      <c r="I50" s="161">
        <f>IFERROR(IF(A50="","",IF(F50="","Unpaid",IF(AND(YEAR(F50)=YEAR(TODAY()),MONTH(F50)=MONTH(TODAY())),"Paid","Unpaid"))),"")</f>
        <v/>
      </c>
    </row>
    <row r="51" ht="20" customHeight="1">
      <c r="A51" s="151" t="n"/>
      <c r="B51" s="151" t="n"/>
      <c r="C51" s="152" t="n"/>
      <c r="D51" s="151" t="n"/>
      <c r="E51" s="151" t="n"/>
      <c r="F51" s="150" t="n"/>
      <c r="G51" s="162">
        <f>IFERROR(IF(B51="Monthly",C51,IF(B51="Annual",C51/12,IF(B51="Weekly",C51*4.33,0))),"")</f>
        <v/>
      </c>
      <c r="H51" s="152">
        <f>IFERROR(IF(A51&lt;&gt;"",G51,""),"")</f>
        <v/>
      </c>
      <c r="I51" s="163">
        <f>IFERROR(IF(A51="","",IF(F51="","Unpaid",IF(AND(YEAR(F51)=YEAR(TODAY()),MONTH(F51)=MONTH(TODAY())),"Paid","Unpaid"))),"")</f>
        <v/>
      </c>
    </row>
    <row r="52" ht="20" customHeight="1">
      <c r="A52" s="147" t="n"/>
      <c r="B52" s="147" t="n"/>
      <c r="C52" s="148" t="n"/>
      <c r="D52" s="147" t="n"/>
      <c r="E52" s="147" t="n"/>
      <c r="F52" s="146" t="n"/>
      <c r="G52" s="160">
        <f>IFERROR(IF(B52="Monthly",C52,IF(B52="Annual",C52/12,IF(B52="Weekly",C52*4.33,0))),"")</f>
        <v/>
      </c>
      <c r="H52" s="148">
        <f>IFERROR(IF(A52&lt;&gt;"",G52,""),"")</f>
        <v/>
      </c>
      <c r="I52" s="161">
        <f>IFERROR(IF(A52="","",IF(F52="","Unpaid",IF(AND(YEAR(F52)=YEAR(TODAY()),MONTH(F52)=MONTH(TODAY())),"Paid","Unpaid"))),"")</f>
        <v/>
      </c>
    </row>
    <row r="53" ht="20" customHeight="1">
      <c r="A53" s="151" t="n"/>
      <c r="B53" s="151" t="n"/>
      <c r="C53" s="152" t="n"/>
      <c r="D53" s="151" t="n"/>
      <c r="E53" s="151" t="n"/>
      <c r="F53" s="150" t="n"/>
      <c r="G53" s="162">
        <f>IFERROR(IF(B53="Monthly",C53,IF(B53="Annual",C53/12,IF(B53="Weekly",C53*4.33,0))),"")</f>
        <v/>
      </c>
      <c r="H53" s="152">
        <f>IFERROR(IF(A53&lt;&gt;"",G53,""),"")</f>
        <v/>
      </c>
      <c r="I53" s="163">
        <f>IFERROR(IF(A53="","",IF(F53="","Unpaid",IF(AND(YEAR(F53)=YEAR(TODAY()),MONTH(F53)=MONTH(TODAY())),"Paid","Unpaid"))),"")</f>
        <v/>
      </c>
    </row>
    <row r="54" ht="20" customHeight="1">
      <c r="A54" s="147" t="n"/>
      <c r="B54" s="147" t="n"/>
      <c r="C54" s="148" t="n"/>
      <c r="D54" s="147" t="n"/>
      <c r="E54" s="147" t="n"/>
      <c r="F54" s="146" t="n"/>
      <c r="G54" s="160">
        <f>IFERROR(IF(B54="Monthly",C54,IF(B54="Annual",C54/12,IF(B54="Weekly",C54*4.33,0))),"")</f>
        <v/>
      </c>
      <c r="H54" s="148">
        <f>IFERROR(IF(A54&lt;&gt;"",G54,""),"")</f>
        <v/>
      </c>
      <c r="I54" s="161">
        <f>IFERROR(IF(A54="","",IF(F54="","Unpaid",IF(AND(YEAR(F54)=YEAR(TODAY()),MONTH(F54)=MONTH(TODAY())),"Paid","Unpaid"))),"")</f>
        <v/>
      </c>
    </row>
    <row r="55" ht="20" customHeight="1">
      <c r="A55" s="151" t="n"/>
      <c r="B55" s="151" t="n"/>
      <c r="C55" s="152" t="n"/>
      <c r="D55" s="151" t="n"/>
      <c r="E55" s="151" t="n"/>
      <c r="F55" s="150" t="n"/>
      <c r="G55" s="162">
        <f>IFERROR(IF(B55="Monthly",C55,IF(B55="Annual",C55/12,IF(B55="Weekly",C55*4.33,0))),"")</f>
        <v/>
      </c>
      <c r="H55" s="152">
        <f>IFERROR(IF(A55&lt;&gt;"",G55,""),"")</f>
        <v/>
      </c>
      <c r="I55" s="163">
        <f>IFERROR(IF(A55="","",IF(F55="","Unpaid",IF(AND(YEAR(F55)=YEAR(TODAY()),MONTH(F55)=MONTH(TODAY())),"Paid","Unpaid"))),"")</f>
        <v/>
      </c>
    </row>
    <row r="56" ht="20" customHeight="1">
      <c r="A56" s="147" t="n"/>
      <c r="B56" s="147" t="n"/>
      <c r="C56" s="148" t="n"/>
      <c r="D56" s="147" t="n"/>
      <c r="E56" s="147" t="n"/>
      <c r="F56" s="146" t="n"/>
      <c r="G56" s="160">
        <f>IFERROR(IF(B56="Monthly",C56,IF(B56="Annual",C56/12,IF(B56="Weekly",C56*4.33,0))),"")</f>
        <v/>
      </c>
      <c r="H56" s="148">
        <f>IFERROR(IF(A56&lt;&gt;"",G56,""),"")</f>
        <v/>
      </c>
      <c r="I56" s="161">
        <f>IFERROR(IF(A56="","",IF(F56="","Unpaid",IF(AND(YEAR(F56)=YEAR(TODAY()),MONTH(F56)=MONTH(TODAY())),"Paid","Unpaid"))),"")</f>
        <v/>
      </c>
    </row>
    <row r="57" ht="20" customHeight="1">
      <c r="A57" s="151" t="n"/>
      <c r="B57" s="151" t="n"/>
      <c r="C57" s="152" t="n"/>
      <c r="D57" s="151" t="n"/>
      <c r="E57" s="151" t="n"/>
      <c r="F57" s="150" t="n"/>
      <c r="G57" s="162">
        <f>IFERROR(IF(B57="Monthly",C57,IF(B57="Annual",C57/12,IF(B57="Weekly",C57*4.33,0))),"")</f>
        <v/>
      </c>
      <c r="H57" s="152">
        <f>IFERROR(IF(A57&lt;&gt;"",G57,""),"")</f>
        <v/>
      </c>
      <c r="I57" s="163">
        <f>IFERROR(IF(A57="","",IF(F57="","Unpaid",IF(AND(YEAR(F57)=YEAR(TODAY()),MONTH(F57)=MONTH(TODAY())),"Paid","Unpaid"))),"")</f>
        <v/>
      </c>
    </row>
  </sheetData>
  <mergeCells count="3">
    <mergeCell ref="A1:I1"/>
    <mergeCell ref="A7:I7"/>
    <mergeCell ref="A2:I2"/>
  </mergeCells>
  <conditionalFormatting sqref="A8:I57">
    <cfRule type="expression" priority="1" dxfId="68">
      <formula>$I8="Paid"</formula>
    </cfRule>
    <cfRule type="expression" priority="2" dxfId="69">
      <formula>AND($I8="Unpaid",$A8&lt;&gt;"")</formula>
    </cfRule>
  </conditionalFormatting>
  <conditionalFormatting sqref="G8:G57">
    <cfRule type="colorScale" priority="3">
      <colorScale>
        <cfvo type="min"/>
        <cfvo type="max"/>
        <color rgb="0022C55E"/>
        <color rgb="00EF4444"/>
      </colorScale>
    </cfRule>
  </conditionalFormatting>
  <conditionalFormatting sqref="H8:H57">
    <cfRule type="dataBar" priority="4">
      <dataBar>
        <cfvo type="min" val="0"/>
        <cfvo type="max"/>
        <color rgb="007C3AED"/>
      </dataBar>
    </cfRule>
  </conditionalFormatting>
  <dataValidations count="2">
    <dataValidation sqref="B8:B57" showDropDown="0" showInputMessage="0" showErrorMessage="0" allowBlank="1" type="list">
      <formula1>"Monthly,Annual,Weekly"</formula1>
    </dataValidation>
    <dataValidation sqref="D8:D57" showDropDown="0" showInputMessage="0" showErrorMessage="0" allowBlank="1" type="list">
      <formula1>'Dropdown Data'!$Q$2:$Q$21</formula1>
    </dataValidation>
  </dataValidations>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xl/worksheets/sheet10.xml><?xml version="1.0" encoding="utf-8"?>
<worksheet xmlns="http://schemas.openxmlformats.org/spreadsheetml/2006/main">
  <sheetPr>
    <tabColor rgb="00F59E0B"/>
    <outlinePr summaryBelow="1" summaryRight="1"/>
    <pageSetUpPr/>
  </sheetPr>
  <dimension ref="A1:I58"/>
  <sheetViews>
    <sheetView workbookViewId="0">
      <selection activeCell="A1" sqref="A1"/>
    </sheetView>
  </sheetViews>
  <sheetFormatPr baseColWidth="8" defaultRowHeight="15"/>
  <cols>
    <col width="10" customWidth="1" min="1" max="1"/>
    <col width="24" customWidth="1" min="2" max="2"/>
    <col width="10" customWidth="1" min="3" max="3"/>
    <col width="16" customWidth="1" min="4" max="4"/>
    <col width="14" customWidth="1" min="5" max="5"/>
    <col width="16" customWidth="1" min="6" max="6"/>
    <col width="16" customWidth="1" min="7" max="7"/>
    <col width="14" customWidth="1" min="8" max="8"/>
    <col width="18" customWidth="1" min="9" max="9"/>
  </cols>
  <sheetData>
    <row r="1" ht="30" customHeight="1">
      <c r="A1" s="164" t="inlineStr">
        <is>
          <t>📈 INVESTMENT PORTFOLIO</t>
        </is>
      </c>
    </row>
    <row r="2" ht="20" customHeight="1">
      <c r="A2" s="142" t="inlineStr">
        <is>
          <t>Track your holdings · Enter ticker, shares, current price, and cost basis manually</t>
        </is>
      </c>
    </row>
    <row r="3" ht="20" customHeight="1">
      <c r="A3" s="143" t="inlineStr">
        <is>
          <t>PORTFOLIO VALUE</t>
        </is>
      </c>
      <c r="C3" s="143" t="inlineStr">
        <is>
          <t>TOTAL COST BASIS</t>
        </is>
      </c>
      <c r="E3" s="143" t="inlineStr">
        <is>
          <t>TOTAL GAIN/LOSS</t>
        </is>
      </c>
      <c r="G3" s="143" t="inlineStr">
        <is>
          <t>GAIN/LOSS %</t>
        </is>
      </c>
    </row>
    <row r="4" ht="28" customHeight="1">
      <c r="A4" s="144">
        <f>IFERROR(SUMPRODUCT((A8:A57&lt;&gt;"")*D8:D57),0)</f>
        <v/>
      </c>
      <c r="C4" s="144">
        <f>IFERROR(SUMPRODUCT((A8:A57&lt;&gt;"")*F8:F57),0)</f>
        <v/>
      </c>
      <c r="E4" s="144">
        <f>IFERROR(E4-E3,0)</f>
        <v/>
      </c>
      <c r="G4" s="165">
        <f>IFERROR((E4-E3)/E3*100,0)</f>
        <v/>
      </c>
    </row>
    <row r="5" ht="8" customHeight="1"/>
    <row r="6" ht="24" customHeight="1">
      <c r="A6" s="145" t="inlineStr">
        <is>
          <t>Ticker</t>
        </is>
      </c>
      <c r="B6" s="145" t="inlineStr">
        <is>
          <t>Company Name</t>
        </is>
      </c>
      <c r="C6" s="145" t="inlineStr">
        <is>
          <t>Shares</t>
        </is>
      </c>
      <c r="D6" s="145" t="inlineStr">
        <is>
          <t>Current Value</t>
        </is>
      </c>
      <c r="E6" s="145" t="inlineStr">
        <is>
          <t>Price/Share</t>
        </is>
      </c>
      <c r="F6" s="145" t="inlineStr">
        <is>
          <t>Cost Basis</t>
        </is>
      </c>
      <c r="G6" s="145" t="inlineStr">
        <is>
          <t>Gain / Loss</t>
        </is>
      </c>
      <c r="H6" s="145" t="inlineStr">
        <is>
          <t>% of Portfolio</t>
        </is>
      </c>
      <c r="I6" s="145" t="inlineStr">
        <is>
          <t>Allocation</t>
        </is>
      </c>
    </row>
    <row r="7">
      <c r="D7" s="166">
        <f>IFERROR(SUMPRODUCT((A8:A57&lt;&gt;"")*D8:D57),1)</f>
        <v/>
      </c>
    </row>
    <row r="8" ht="20" customHeight="1">
      <c r="A8" s="167" t="n"/>
      <c r="B8" s="167" t="n"/>
      <c r="C8" s="168" t="n"/>
      <c r="D8" s="169">
        <f>IFERROR(IF(A8="","",C8*E8),"")</f>
        <v/>
      </c>
      <c r="E8" s="170" t="n"/>
      <c r="F8" s="170" t="n"/>
      <c r="G8" s="169">
        <f>IFERROR(IF(A8="","",D8-F8),"")</f>
        <v/>
      </c>
      <c r="H8" s="171">
        <f>IFERROR(IF(A8="","",D8/$D$7*100),"")</f>
        <v/>
      </c>
      <c r="I8" s="172">
        <f>IFERROR(IF(A8="","",REPT("█",ROUND(D8/$D$7*20,0))),"")</f>
        <v/>
      </c>
    </row>
    <row r="9" ht="20" customHeight="1">
      <c r="A9" s="173" t="n"/>
      <c r="B9" s="173" t="n"/>
      <c r="C9" s="174" t="n"/>
      <c r="D9" s="175">
        <f>IFERROR(IF(A9="","",C9*E9),"")</f>
        <v/>
      </c>
      <c r="E9" s="176" t="n"/>
      <c r="F9" s="176" t="n"/>
      <c r="G9" s="175">
        <f>IFERROR(IF(A9="","",D9-F9),"")</f>
        <v/>
      </c>
      <c r="H9" s="177">
        <f>IFERROR(IF(A9="","",D9/$D$7*100),"")</f>
        <v/>
      </c>
      <c r="I9" s="178">
        <f>IFERROR(IF(A9="","",REPT("█",ROUND(D9/$D$7*20,0))),"")</f>
        <v/>
      </c>
    </row>
    <row r="10" ht="20" customHeight="1">
      <c r="A10" s="167" t="n"/>
      <c r="B10" s="167" t="n"/>
      <c r="C10" s="168" t="n"/>
      <c r="D10" s="169">
        <f>IFERROR(IF(A10="","",C10*E10),"")</f>
        <v/>
      </c>
      <c r="E10" s="170" t="n"/>
      <c r="F10" s="170" t="n"/>
      <c r="G10" s="169">
        <f>IFERROR(IF(A10="","",D10-F10),"")</f>
        <v/>
      </c>
      <c r="H10" s="171">
        <f>IFERROR(IF(A10="","",D10/$D$7*100),"")</f>
        <v/>
      </c>
      <c r="I10" s="172">
        <f>IFERROR(IF(A10="","",REPT("█",ROUND(D10/$D$7*20,0))),"")</f>
        <v/>
      </c>
    </row>
    <row r="11" ht="20" customHeight="1">
      <c r="A11" s="173" t="n"/>
      <c r="B11" s="173" t="n"/>
      <c r="C11" s="174" t="n"/>
      <c r="D11" s="175">
        <f>IFERROR(IF(A11="","",C11*E11),"")</f>
        <v/>
      </c>
      <c r="E11" s="176" t="n"/>
      <c r="F11" s="176" t="n"/>
      <c r="G11" s="175">
        <f>IFERROR(IF(A11="","",D11-F11),"")</f>
        <v/>
      </c>
      <c r="H11" s="177">
        <f>IFERROR(IF(A11="","",D11/$D$7*100),"")</f>
        <v/>
      </c>
      <c r="I11" s="178">
        <f>IFERROR(IF(A11="","",REPT("█",ROUND(D11/$D$7*20,0))),"")</f>
        <v/>
      </c>
    </row>
    <row r="12" ht="20" customHeight="1">
      <c r="A12" s="167" t="n"/>
      <c r="B12" s="167" t="n"/>
      <c r="C12" s="168" t="n"/>
      <c r="D12" s="169">
        <f>IFERROR(IF(A12="","",C12*E12),"")</f>
        <v/>
      </c>
      <c r="E12" s="170" t="n"/>
      <c r="F12" s="170" t="n"/>
      <c r="G12" s="169">
        <f>IFERROR(IF(A12="","",D12-F12),"")</f>
        <v/>
      </c>
      <c r="H12" s="171">
        <f>IFERROR(IF(A12="","",D12/$D$7*100),"")</f>
        <v/>
      </c>
      <c r="I12" s="172">
        <f>IFERROR(IF(A12="","",REPT("█",ROUND(D12/$D$7*20,0))),"")</f>
        <v/>
      </c>
    </row>
    <row r="13" ht="20" customHeight="1">
      <c r="A13" s="173" t="n"/>
      <c r="B13" s="173" t="n"/>
      <c r="C13" s="174" t="n"/>
      <c r="D13" s="175">
        <f>IFERROR(IF(A13="","",C13*E13),"")</f>
        <v/>
      </c>
      <c r="E13" s="176" t="n"/>
      <c r="F13" s="176" t="n"/>
      <c r="G13" s="175">
        <f>IFERROR(IF(A13="","",D13-F13),"")</f>
        <v/>
      </c>
      <c r="H13" s="177">
        <f>IFERROR(IF(A13="","",D13/$D$7*100),"")</f>
        <v/>
      </c>
      <c r="I13" s="178">
        <f>IFERROR(IF(A13="","",REPT("█",ROUND(D13/$D$7*20,0))),"")</f>
        <v/>
      </c>
    </row>
    <row r="14" ht="20" customHeight="1">
      <c r="A14" s="167" t="n"/>
      <c r="B14" s="167" t="n"/>
      <c r="C14" s="168" t="n"/>
      <c r="D14" s="169">
        <f>IFERROR(IF(A14="","",C14*E14),"")</f>
        <v/>
      </c>
      <c r="E14" s="170" t="n"/>
      <c r="F14" s="170" t="n"/>
      <c r="G14" s="169">
        <f>IFERROR(IF(A14="","",D14-F14),"")</f>
        <v/>
      </c>
      <c r="H14" s="171">
        <f>IFERROR(IF(A14="","",D14/$D$7*100),"")</f>
        <v/>
      </c>
      <c r="I14" s="172">
        <f>IFERROR(IF(A14="","",REPT("█",ROUND(D14/$D$7*20,0))),"")</f>
        <v/>
      </c>
    </row>
    <row r="15" ht="20" customHeight="1">
      <c r="A15" s="173" t="n"/>
      <c r="B15" s="173" t="n"/>
      <c r="C15" s="174" t="n"/>
      <c r="D15" s="175">
        <f>IFERROR(IF(A15="","",C15*E15),"")</f>
        <v/>
      </c>
      <c r="E15" s="176" t="n"/>
      <c r="F15" s="176" t="n"/>
      <c r="G15" s="175">
        <f>IFERROR(IF(A15="","",D15-F15),"")</f>
        <v/>
      </c>
      <c r="H15" s="177">
        <f>IFERROR(IF(A15="","",D15/$D$7*100),"")</f>
        <v/>
      </c>
      <c r="I15" s="178">
        <f>IFERROR(IF(A15="","",REPT("█",ROUND(D15/$D$7*20,0))),"")</f>
        <v/>
      </c>
    </row>
    <row r="16" ht="20" customHeight="1">
      <c r="A16" s="167" t="n"/>
      <c r="B16" s="167" t="n"/>
      <c r="C16" s="168" t="n"/>
      <c r="D16" s="169">
        <f>IFERROR(IF(A16="","",C16*E16),"")</f>
        <v/>
      </c>
      <c r="E16" s="170" t="n"/>
      <c r="F16" s="170" t="n"/>
      <c r="G16" s="169">
        <f>IFERROR(IF(A16="","",D16-F16),"")</f>
        <v/>
      </c>
      <c r="H16" s="171">
        <f>IFERROR(IF(A16="","",D16/$D$7*100),"")</f>
        <v/>
      </c>
      <c r="I16" s="172">
        <f>IFERROR(IF(A16="","",REPT("█",ROUND(D16/$D$7*20,0))),"")</f>
        <v/>
      </c>
    </row>
    <row r="17" ht="20" customHeight="1">
      <c r="A17" s="173" t="n"/>
      <c r="B17" s="173" t="n"/>
      <c r="C17" s="174" t="n"/>
      <c r="D17" s="175">
        <f>IFERROR(IF(A17="","",C17*E17),"")</f>
        <v/>
      </c>
      <c r="E17" s="176" t="n"/>
      <c r="F17" s="176" t="n"/>
      <c r="G17" s="175">
        <f>IFERROR(IF(A17="","",D17-F17),"")</f>
        <v/>
      </c>
      <c r="H17" s="177">
        <f>IFERROR(IF(A17="","",D17/$D$7*100),"")</f>
        <v/>
      </c>
      <c r="I17" s="178">
        <f>IFERROR(IF(A17="","",REPT("█",ROUND(D17/$D$7*20,0))),"")</f>
        <v/>
      </c>
    </row>
    <row r="18" ht="20" customHeight="1">
      <c r="A18" s="167" t="n"/>
      <c r="B18" s="167" t="n"/>
      <c r="C18" s="168" t="n"/>
      <c r="D18" s="169">
        <f>IFERROR(IF(A18="","",C18*E18),"")</f>
        <v/>
      </c>
      <c r="E18" s="170" t="n"/>
      <c r="F18" s="170" t="n"/>
      <c r="G18" s="169">
        <f>IFERROR(IF(A18="","",D18-F18),"")</f>
        <v/>
      </c>
      <c r="H18" s="171">
        <f>IFERROR(IF(A18="","",D18/$D$7*100),"")</f>
        <v/>
      </c>
      <c r="I18" s="172">
        <f>IFERROR(IF(A18="","",REPT("█",ROUND(D18/$D$7*20,0))),"")</f>
        <v/>
      </c>
    </row>
    <row r="19" ht="20" customHeight="1">
      <c r="A19" s="173" t="n"/>
      <c r="B19" s="173" t="n"/>
      <c r="C19" s="174" t="n"/>
      <c r="D19" s="175">
        <f>IFERROR(IF(A19="","",C19*E19),"")</f>
        <v/>
      </c>
      <c r="E19" s="176" t="n"/>
      <c r="F19" s="176" t="n"/>
      <c r="G19" s="175">
        <f>IFERROR(IF(A19="","",D19-F19),"")</f>
        <v/>
      </c>
      <c r="H19" s="177">
        <f>IFERROR(IF(A19="","",D19/$D$7*100),"")</f>
        <v/>
      </c>
      <c r="I19" s="178">
        <f>IFERROR(IF(A19="","",REPT("█",ROUND(D19/$D$7*20,0))),"")</f>
        <v/>
      </c>
    </row>
    <row r="20" ht="20" customHeight="1">
      <c r="A20" s="167" t="n"/>
      <c r="B20" s="167" t="n"/>
      <c r="C20" s="168" t="n"/>
      <c r="D20" s="169">
        <f>IFERROR(IF(A20="","",C20*E20),"")</f>
        <v/>
      </c>
      <c r="E20" s="170" t="n"/>
      <c r="F20" s="170" t="n"/>
      <c r="G20" s="169">
        <f>IFERROR(IF(A20="","",D20-F20),"")</f>
        <v/>
      </c>
      <c r="H20" s="171">
        <f>IFERROR(IF(A20="","",D20/$D$7*100),"")</f>
        <v/>
      </c>
      <c r="I20" s="172">
        <f>IFERROR(IF(A20="","",REPT("█",ROUND(D20/$D$7*20,0))),"")</f>
        <v/>
      </c>
    </row>
    <row r="21" ht="20" customHeight="1">
      <c r="A21" s="173" t="n"/>
      <c r="B21" s="173" t="n"/>
      <c r="C21" s="174" t="n"/>
      <c r="D21" s="175">
        <f>IFERROR(IF(A21="","",C21*E21),"")</f>
        <v/>
      </c>
      <c r="E21" s="176" t="n"/>
      <c r="F21" s="176" t="n"/>
      <c r="G21" s="175">
        <f>IFERROR(IF(A21="","",D21-F21),"")</f>
        <v/>
      </c>
      <c r="H21" s="177">
        <f>IFERROR(IF(A21="","",D21/$D$7*100),"")</f>
        <v/>
      </c>
      <c r="I21" s="178">
        <f>IFERROR(IF(A21="","",REPT("█",ROUND(D21/$D$7*20,0))),"")</f>
        <v/>
      </c>
    </row>
    <row r="22" ht="20" customHeight="1">
      <c r="A22" s="167" t="n"/>
      <c r="B22" s="167" t="n"/>
      <c r="C22" s="168" t="n"/>
      <c r="D22" s="169">
        <f>IFERROR(IF(A22="","",C22*E22),"")</f>
        <v/>
      </c>
      <c r="E22" s="170" t="n"/>
      <c r="F22" s="170" t="n"/>
      <c r="G22" s="169">
        <f>IFERROR(IF(A22="","",D22-F22),"")</f>
        <v/>
      </c>
      <c r="H22" s="171">
        <f>IFERROR(IF(A22="","",D22/$D$7*100),"")</f>
        <v/>
      </c>
      <c r="I22" s="172">
        <f>IFERROR(IF(A22="","",REPT("█",ROUND(D22/$D$7*20,0))),"")</f>
        <v/>
      </c>
    </row>
    <row r="23" ht="20" customHeight="1">
      <c r="A23" s="173" t="n"/>
      <c r="B23" s="173" t="n"/>
      <c r="C23" s="174" t="n"/>
      <c r="D23" s="175">
        <f>IFERROR(IF(A23="","",C23*E23),"")</f>
        <v/>
      </c>
      <c r="E23" s="176" t="n"/>
      <c r="F23" s="176" t="n"/>
      <c r="G23" s="175">
        <f>IFERROR(IF(A23="","",D23-F23),"")</f>
        <v/>
      </c>
      <c r="H23" s="177">
        <f>IFERROR(IF(A23="","",D23/$D$7*100),"")</f>
        <v/>
      </c>
      <c r="I23" s="178">
        <f>IFERROR(IF(A23="","",REPT("█",ROUND(D23/$D$7*20,0))),"")</f>
        <v/>
      </c>
    </row>
    <row r="24" ht="20" customHeight="1">
      <c r="A24" s="167" t="n"/>
      <c r="B24" s="167" t="n"/>
      <c r="C24" s="168" t="n"/>
      <c r="D24" s="169">
        <f>IFERROR(IF(A24="","",C24*E24),"")</f>
        <v/>
      </c>
      <c r="E24" s="170" t="n"/>
      <c r="F24" s="170" t="n"/>
      <c r="G24" s="169">
        <f>IFERROR(IF(A24="","",D24-F24),"")</f>
        <v/>
      </c>
      <c r="H24" s="171">
        <f>IFERROR(IF(A24="","",D24/$D$7*100),"")</f>
        <v/>
      </c>
      <c r="I24" s="172">
        <f>IFERROR(IF(A24="","",REPT("█",ROUND(D24/$D$7*20,0))),"")</f>
        <v/>
      </c>
    </row>
    <row r="25" ht="20" customHeight="1">
      <c r="A25" s="173" t="n"/>
      <c r="B25" s="173" t="n"/>
      <c r="C25" s="174" t="n"/>
      <c r="D25" s="175">
        <f>IFERROR(IF(A25="","",C25*E25),"")</f>
        <v/>
      </c>
      <c r="E25" s="176" t="n"/>
      <c r="F25" s="176" t="n"/>
      <c r="G25" s="175">
        <f>IFERROR(IF(A25="","",D25-F25),"")</f>
        <v/>
      </c>
      <c r="H25" s="177">
        <f>IFERROR(IF(A25="","",D25/$D$7*100),"")</f>
        <v/>
      </c>
      <c r="I25" s="178">
        <f>IFERROR(IF(A25="","",REPT("█",ROUND(D25/$D$7*20,0))),"")</f>
        <v/>
      </c>
    </row>
    <row r="26" ht="20" customHeight="1">
      <c r="A26" s="167" t="n"/>
      <c r="B26" s="167" t="n"/>
      <c r="C26" s="168" t="n"/>
      <c r="D26" s="169">
        <f>IFERROR(IF(A26="","",C26*E26),"")</f>
        <v/>
      </c>
      <c r="E26" s="170" t="n"/>
      <c r="F26" s="170" t="n"/>
      <c r="G26" s="169">
        <f>IFERROR(IF(A26="","",D26-F26),"")</f>
        <v/>
      </c>
      <c r="H26" s="171">
        <f>IFERROR(IF(A26="","",D26/$D$7*100),"")</f>
        <v/>
      </c>
      <c r="I26" s="172">
        <f>IFERROR(IF(A26="","",REPT("█",ROUND(D26/$D$7*20,0))),"")</f>
        <v/>
      </c>
    </row>
    <row r="27" ht="20" customHeight="1">
      <c r="A27" s="173" t="n"/>
      <c r="B27" s="173" t="n"/>
      <c r="C27" s="174" t="n"/>
      <c r="D27" s="175">
        <f>IFERROR(IF(A27="","",C27*E27),"")</f>
        <v/>
      </c>
      <c r="E27" s="176" t="n"/>
      <c r="F27" s="176" t="n"/>
      <c r="G27" s="175">
        <f>IFERROR(IF(A27="","",D27-F27),"")</f>
        <v/>
      </c>
      <c r="H27" s="177">
        <f>IFERROR(IF(A27="","",D27/$D$7*100),"")</f>
        <v/>
      </c>
      <c r="I27" s="178">
        <f>IFERROR(IF(A27="","",REPT("█",ROUND(D27/$D$7*20,0))),"")</f>
        <v/>
      </c>
    </row>
    <row r="28" ht="20" customHeight="1">
      <c r="A28" s="167" t="n"/>
      <c r="B28" s="167" t="n"/>
      <c r="C28" s="168" t="n"/>
      <c r="D28" s="169">
        <f>IFERROR(IF(A28="","",C28*E28),"")</f>
        <v/>
      </c>
      <c r="E28" s="170" t="n"/>
      <c r="F28" s="170" t="n"/>
      <c r="G28" s="169">
        <f>IFERROR(IF(A28="","",D28-F28),"")</f>
        <v/>
      </c>
      <c r="H28" s="171">
        <f>IFERROR(IF(A28="","",D28/$D$7*100),"")</f>
        <v/>
      </c>
      <c r="I28" s="172">
        <f>IFERROR(IF(A28="","",REPT("█",ROUND(D28/$D$7*20,0))),"")</f>
        <v/>
      </c>
    </row>
    <row r="29" ht="20" customHeight="1">
      <c r="A29" s="173" t="n"/>
      <c r="B29" s="173" t="n"/>
      <c r="C29" s="174" t="n"/>
      <c r="D29" s="175">
        <f>IFERROR(IF(A29="","",C29*E29),"")</f>
        <v/>
      </c>
      <c r="E29" s="176" t="n"/>
      <c r="F29" s="176" t="n"/>
      <c r="G29" s="175">
        <f>IFERROR(IF(A29="","",D29-F29),"")</f>
        <v/>
      </c>
      <c r="H29" s="177">
        <f>IFERROR(IF(A29="","",D29/$D$7*100),"")</f>
        <v/>
      </c>
      <c r="I29" s="178">
        <f>IFERROR(IF(A29="","",REPT("█",ROUND(D29/$D$7*20,0))),"")</f>
        <v/>
      </c>
    </row>
    <row r="30" ht="20" customHeight="1">
      <c r="A30" s="167" t="n"/>
      <c r="B30" s="167" t="n"/>
      <c r="C30" s="168" t="n"/>
      <c r="D30" s="169">
        <f>IFERROR(IF(A30="","",C30*E30),"")</f>
        <v/>
      </c>
      <c r="E30" s="170" t="n"/>
      <c r="F30" s="170" t="n"/>
      <c r="G30" s="169">
        <f>IFERROR(IF(A30="","",D30-F30),"")</f>
        <v/>
      </c>
      <c r="H30" s="171">
        <f>IFERROR(IF(A30="","",D30/$D$7*100),"")</f>
        <v/>
      </c>
      <c r="I30" s="172">
        <f>IFERROR(IF(A30="","",REPT("█",ROUND(D30/$D$7*20,0))),"")</f>
        <v/>
      </c>
    </row>
    <row r="31" ht="20" customHeight="1">
      <c r="A31" s="173" t="n"/>
      <c r="B31" s="173" t="n"/>
      <c r="C31" s="174" t="n"/>
      <c r="D31" s="175">
        <f>IFERROR(IF(A31="","",C31*E31),"")</f>
        <v/>
      </c>
      <c r="E31" s="176" t="n"/>
      <c r="F31" s="176" t="n"/>
      <c r="G31" s="175">
        <f>IFERROR(IF(A31="","",D31-F31),"")</f>
        <v/>
      </c>
      <c r="H31" s="177">
        <f>IFERROR(IF(A31="","",D31/$D$7*100),"")</f>
        <v/>
      </c>
      <c r="I31" s="178">
        <f>IFERROR(IF(A31="","",REPT("█",ROUND(D31/$D$7*20,0))),"")</f>
        <v/>
      </c>
    </row>
    <row r="32" ht="20" customHeight="1">
      <c r="A32" s="167" t="n"/>
      <c r="B32" s="167" t="n"/>
      <c r="C32" s="168" t="n"/>
      <c r="D32" s="169">
        <f>IFERROR(IF(A32="","",C32*E32),"")</f>
        <v/>
      </c>
      <c r="E32" s="170" t="n"/>
      <c r="F32" s="170" t="n"/>
      <c r="G32" s="169">
        <f>IFERROR(IF(A32="","",D32-F32),"")</f>
        <v/>
      </c>
      <c r="H32" s="171">
        <f>IFERROR(IF(A32="","",D32/$D$7*100),"")</f>
        <v/>
      </c>
      <c r="I32" s="172">
        <f>IFERROR(IF(A32="","",REPT("█",ROUND(D32/$D$7*20,0))),"")</f>
        <v/>
      </c>
    </row>
    <row r="33" ht="20" customHeight="1">
      <c r="A33" s="173" t="n"/>
      <c r="B33" s="173" t="n"/>
      <c r="C33" s="174" t="n"/>
      <c r="D33" s="175">
        <f>IFERROR(IF(A33="","",C33*E33),"")</f>
        <v/>
      </c>
      <c r="E33" s="176" t="n"/>
      <c r="F33" s="176" t="n"/>
      <c r="G33" s="175">
        <f>IFERROR(IF(A33="","",D33-F33),"")</f>
        <v/>
      </c>
      <c r="H33" s="177">
        <f>IFERROR(IF(A33="","",D33/$D$7*100),"")</f>
        <v/>
      </c>
      <c r="I33" s="178">
        <f>IFERROR(IF(A33="","",REPT("█",ROUND(D33/$D$7*20,0))),"")</f>
        <v/>
      </c>
    </row>
    <row r="34" ht="20" customHeight="1">
      <c r="A34" s="167" t="n"/>
      <c r="B34" s="167" t="n"/>
      <c r="C34" s="168" t="n"/>
      <c r="D34" s="169">
        <f>IFERROR(IF(A34="","",C34*E34),"")</f>
        <v/>
      </c>
      <c r="E34" s="170" t="n"/>
      <c r="F34" s="170" t="n"/>
      <c r="G34" s="169">
        <f>IFERROR(IF(A34="","",D34-F34),"")</f>
        <v/>
      </c>
      <c r="H34" s="171">
        <f>IFERROR(IF(A34="","",D34/$D$7*100),"")</f>
        <v/>
      </c>
      <c r="I34" s="172">
        <f>IFERROR(IF(A34="","",REPT("█",ROUND(D34/$D$7*20,0))),"")</f>
        <v/>
      </c>
    </row>
    <row r="35" ht="20" customHeight="1">
      <c r="A35" s="173" t="n"/>
      <c r="B35" s="173" t="n"/>
      <c r="C35" s="174" t="n"/>
      <c r="D35" s="175">
        <f>IFERROR(IF(A35="","",C35*E35),"")</f>
        <v/>
      </c>
      <c r="E35" s="176" t="n"/>
      <c r="F35" s="176" t="n"/>
      <c r="G35" s="175">
        <f>IFERROR(IF(A35="","",D35-F35),"")</f>
        <v/>
      </c>
      <c r="H35" s="177">
        <f>IFERROR(IF(A35="","",D35/$D$7*100),"")</f>
        <v/>
      </c>
      <c r="I35" s="178">
        <f>IFERROR(IF(A35="","",REPT("█",ROUND(D35/$D$7*20,0))),"")</f>
        <v/>
      </c>
    </row>
    <row r="36" ht="20" customHeight="1">
      <c r="A36" s="167" t="n"/>
      <c r="B36" s="167" t="n"/>
      <c r="C36" s="168" t="n"/>
      <c r="D36" s="169">
        <f>IFERROR(IF(A36="","",C36*E36),"")</f>
        <v/>
      </c>
      <c r="E36" s="170" t="n"/>
      <c r="F36" s="170" t="n"/>
      <c r="G36" s="169">
        <f>IFERROR(IF(A36="","",D36-F36),"")</f>
        <v/>
      </c>
      <c r="H36" s="171">
        <f>IFERROR(IF(A36="","",D36/$D$7*100),"")</f>
        <v/>
      </c>
      <c r="I36" s="172">
        <f>IFERROR(IF(A36="","",REPT("█",ROUND(D36/$D$7*20,0))),"")</f>
        <v/>
      </c>
    </row>
    <row r="37" ht="20" customHeight="1">
      <c r="A37" s="173" t="n"/>
      <c r="B37" s="173" t="n"/>
      <c r="C37" s="174" t="n"/>
      <c r="D37" s="175">
        <f>IFERROR(IF(A37="","",C37*E37),"")</f>
        <v/>
      </c>
      <c r="E37" s="176" t="n"/>
      <c r="F37" s="176" t="n"/>
      <c r="G37" s="175">
        <f>IFERROR(IF(A37="","",D37-F37),"")</f>
        <v/>
      </c>
      <c r="H37" s="177">
        <f>IFERROR(IF(A37="","",D37/$D$7*100),"")</f>
        <v/>
      </c>
      <c r="I37" s="178">
        <f>IFERROR(IF(A37="","",REPT("█",ROUND(D37/$D$7*20,0))),"")</f>
        <v/>
      </c>
    </row>
    <row r="38" ht="20" customHeight="1">
      <c r="A38" s="167" t="n"/>
      <c r="B38" s="167" t="n"/>
      <c r="C38" s="168" t="n"/>
      <c r="D38" s="169">
        <f>IFERROR(IF(A38="","",C38*E38),"")</f>
        <v/>
      </c>
      <c r="E38" s="170" t="n"/>
      <c r="F38" s="170" t="n"/>
      <c r="G38" s="169">
        <f>IFERROR(IF(A38="","",D38-F38),"")</f>
        <v/>
      </c>
      <c r="H38" s="171">
        <f>IFERROR(IF(A38="","",D38/$D$7*100),"")</f>
        <v/>
      </c>
      <c r="I38" s="172">
        <f>IFERROR(IF(A38="","",REPT("█",ROUND(D38/$D$7*20,0))),"")</f>
        <v/>
      </c>
    </row>
    <row r="39" ht="20" customHeight="1">
      <c r="A39" s="173" t="n"/>
      <c r="B39" s="173" t="n"/>
      <c r="C39" s="174" t="n"/>
      <c r="D39" s="175">
        <f>IFERROR(IF(A39="","",C39*E39),"")</f>
        <v/>
      </c>
      <c r="E39" s="176" t="n"/>
      <c r="F39" s="176" t="n"/>
      <c r="G39" s="175">
        <f>IFERROR(IF(A39="","",D39-F39),"")</f>
        <v/>
      </c>
      <c r="H39" s="177">
        <f>IFERROR(IF(A39="","",D39/$D$7*100),"")</f>
        <v/>
      </c>
      <c r="I39" s="178">
        <f>IFERROR(IF(A39="","",REPT("█",ROUND(D39/$D$7*20,0))),"")</f>
        <v/>
      </c>
    </row>
    <row r="40" ht="20" customHeight="1">
      <c r="A40" s="167" t="n"/>
      <c r="B40" s="167" t="n"/>
      <c r="C40" s="168" t="n"/>
      <c r="D40" s="169">
        <f>IFERROR(IF(A40="","",C40*E40),"")</f>
        <v/>
      </c>
      <c r="E40" s="170" t="n"/>
      <c r="F40" s="170" t="n"/>
      <c r="G40" s="169">
        <f>IFERROR(IF(A40="","",D40-F40),"")</f>
        <v/>
      </c>
      <c r="H40" s="171">
        <f>IFERROR(IF(A40="","",D40/$D$7*100),"")</f>
        <v/>
      </c>
      <c r="I40" s="172">
        <f>IFERROR(IF(A40="","",REPT("█",ROUND(D40/$D$7*20,0))),"")</f>
        <v/>
      </c>
    </row>
    <row r="41" ht="20" customHeight="1">
      <c r="A41" s="173" t="n"/>
      <c r="B41" s="173" t="n"/>
      <c r="C41" s="174" t="n"/>
      <c r="D41" s="175">
        <f>IFERROR(IF(A41="","",C41*E41),"")</f>
        <v/>
      </c>
      <c r="E41" s="176" t="n"/>
      <c r="F41" s="176" t="n"/>
      <c r="G41" s="175">
        <f>IFERROR(IF(A41="","",D41-F41),"")</f>
        <v/>
      </c>
      <c r="H41" s="177">
        <f>IFERROR(IF(A41="","",D41/$D$7*100),"")</f>
        <v/>
      </c>
      <c r="I41" s="178">
        <f>IFERROR(IF(A41="","",REPT("█",ROUND(D41/$D$7*20,0))),"")</f>
        <v/>
      </c>
    </row>
    <row r="42" ht="20" customHeight="1">
      <c r="A42" s="167" t="n"/>
      <c r="B42" s="167" t="n"/>
      <c r="C42" s="168" t="n"/>
      <c r="D42" s="169">
        <f>IFERROR(IF(A42="","",C42*E42),"")</f>
        <v/>
      </c>
      <c r="E42" s="170" t="n"/>
      <c r="F42" s="170" t="n"/>
      <c r="G42" s="169">
        <f>IFERROR(IF(A42="","",D42-F42),"")</f>
        <v/>
      </c>
      <c r="H42" s="171">
        <f>IFERROR(IF(A42="","",D42/$D$7*100),"")</f>
        <v/>
      </c>
      <c r="I42" s="172">
        <f>IFERROR(IF(A42="","",REPT("█",ROUND(D42/$D$7*20,0))),"")</f>
        <v/>
      </c>
    </row>
    <row r="43" ht="20" customHeight="1">
      <c r="A43" s="173" t="n"/>
      <c r="B43" s="173" t="n"/>
      <c r="C43" s="174" t="n"/>
      <c r="D43" s="175">
        <f>IFERROR(IF(A43="","",C43*E43),"")</f>
        <v/>
      </c>
      <c r="E43" s="176" t="n"/>
      <c r="F43" s="176" t="n"/>
      <c r="G43" s="175">
        <f>IFERROR(IF(A43="","",D43-F43),"")</f>
        <v/>
      </c>
      <c r="H43" s="177">
        <f>IFERROR(IF(A43="","",D43/$D$7*100),"")</f>
        <v/>
      </c>
      <c r="I43" s="178">
        <f>IFERROR(IF(A43="","",REPT("█",ROUND(D43/$D$7*20,0))),"")</f>
        <v/>
      </c>
    </row>
    <row r="44" ht="20" customHeight="1">
      <c r="A44" s="167" t="n"/>
      <c r="B44" s="167" t="n"/>
      <c r="C44" s="168" t="n"/>
      <c r="D44" s="169">
        <f>IFERROR(IF(A44="","",C44*E44),"")</f>
        <v/>
      </c>
      <c r="E44" s="170" t="n"/>
      <c r="F44" s="170" t="n"/>
      <c r="G44" s="169">
        <f>IFERROR(IF(A44="","",D44-F44),"")</f>
        <v/>
      </c>
      <c r="H44" s="171">
        <f>IFERROR(IF(A44="","",D44/$D$7*100),"")</f>
        <v/>
      </c>
      <c r="I44" s="172">
        <f>IFERROR(IF(A44="","",REPT("█",ROUND(D44/$D$7*20,0))),"")</f>
        <v/>
      </c>
    </row>
    <row r="45" ht="20" customHeight="1">
      <c r="A45" s="173" t="n"/>
      <c r="B45" s="173" t="n"/>
      <c r="C45" s="174" t="n"/>
      <c r="D45" s="175">
        <f>IFERROR(IF(A45="","",C45*E45),"")</f>
        <v/>
      </c>
      <c r="E45" s="176" t="n"/>
      <c r="F45" s="176" t="n"/>
      <c r="G45" s="175">
        <f>IFERROR(IF(A45="","",D45-F45),"")</f>
        <v/>
      </c>
      <c r="H45" s="177">
        <f>IFERROR(IF(A45="","",D45/$D$7*100),"")</f>
        <v/>
      </c>
      <c r="I45" s="178">
        <f>IFERROR(IF(A45="","",REPT("█",ROUND(D45/$D$7*20,0))),"")</f>
        <v/>
      </c>
    </row>
    <row r="46" ht="20" customHeight="1">
      <c r="A46" s="167" t="n"/>
      <c r="B46" s="167" t="n"/>
      <c r="C46" s="168" t="n"/>
      <c r="D46" s="169">
        <f>IFERROR(IF(A46="","",C46*E46),"")</f>
        <v/>
      </c>
      <c r="E46" s="170" t="n"/>
      <c r="F46" s="170" t="n"/>
      <c r="G46" s="169">
        <f>IFERROR(IF(A46="","",D46-F46),"")</f>
        <v/>
      </c>
      <c r="H46" s="171">
        <f>IFERROR(IF(A46="","",D46/$D$7*100),"")</f>
        <v/>
      </c>
      <c r="I46" s="172">
        <f>IFERROR(IF(A46="","",REPT("█",ROUND(D46/$D$7*20,0))),"")</f>
        <v/>
      </c>
    </row>
    <row r="47" ht="20" customHeight="1">
      <c r="A47" s="173" t="n"/>
      <c r="B47" s="173" t="n"/>
      <c r="C47" s="174" t="n"/>
      <c r="D47" s="175">
        <f>IFERROR(IF(A47="","",C47*E47),"")</f>
        <v/>
      </c>
      <c r="E47" s="176" t="n"/>
      <c r="F47" s="176" t="n"/>
      <c r="G47" s="175">
        <f>IFERROR(IF(A47="","",D47-F47),"")</f>
        <v/>
      </c>
      <c r="H47" s="177">
        <f>IFERROR(IF(A47="","",D47/$D$7*100),"")</f>
        <v/>
      </c>
      <c r="I47" s="178">
        <f>IFERROR(IF(A47="","",REPT("█",ROUND(D47/$D$7*20,0))),"")</f>
        <v/>
      </c>
    </row>
    <row r="48" ht="20" customHeight="1">
      <c r="A48" s="167" t="n"/>
      <c r="B48" s="167" t="n"/>
      <c r="C48" s="168" t="n"/>
      <c r="D48" s="169">
        <f>IFERROR(IF(A48="","",C48*E48),"")</f>
        <v/>
      </c>
      <c r="E48" s="170" t="n"/>
      <c r="F48" s="170" t="n"/>
      <c r="G48" s="169">
        <f>IFERROR(IF(A48="","",D48-F48),"")</f>
        <v/>
      </c>
      <c r="H48" s="171">
        <f>IFERROR(IF(A48="","",D48/$D$7*100),"")</f>
        <v/>
      </c>
      <c r="I48" s="172">
        <f>IFERROR(IF(A48="","",REPT("█",ROUND(D48/$D$7*20,0))),"")</f>
        <v/>
      </c>
    </row>
    <row r="49" ht="20" customHeight="1">
      <c r="A49" s="173" t="n"/>
      <c r="B49" s="173" t="n"/>
      <c r="C49" s="174" t="n"/>
      <c r="D49" s="175">
        <f>IFERROR(IF(A49="","",C49*E49),"")</f>
        <v/>
      </c>
      <c r="E49" s="176" t="n"/>
      <c r="F49" s="176" t="n"/>
      <c r="G49" s="175">
        <f>IFERROR(IF(A49="","",D49-F49),"")</f>
        <v/>
      </c>
      <c r="H49" s="177">
        <f>IFERROR(IF(A49="","",D49/$D$7*100),"")</f>
        <v/>
      </c>
      <c r="I49" s="178">
        <f>IFERROR(IF(A49="","",REPT("█",ROUND(D49/$D$7*20,0))),"")</f>
        <v/>
      </c>
    </row>
    <row r="50" ht="20" customHeight="1">
      <c r="A50" s="167" t="n"/>
      <c r="B50" s="167" t="n"/>
      <c r="C50" s="168" t="n"/>
      <c r="D50" s="169">
        <f>IFERROR(IF(A50="","",C50*E50),"")</f>
        <v/>
      </c>
      <c r="E50" s="170" t="n"/>
      <c r="F50" s="170" t="n"/>
      <c r="G50" s="169">
        <f>IFERROR(IF(A50="","",D50-F50),"")</f>
        <v/>
      </c>
      <c r="H50" s="171">
        <f>IFERROR(IF(A50="","",D50/$D$7*100),"")</f>
        <v/>
      </c>
      <c r="I50" s="172">
        <f>IFERROR(IF(A50="","",REPT("█",ROUND(D50/$D$7*20,0))),"")</f>
        <v/>
      </c>
    </row>
    <row r="51" ht="20" customHeight="1">
      <c r="A51" s="173" t="n"/>
      <c r="B51" s="173" t="n"/>
      <c r="C51" s="174" t="n"/>
      <c r="D51" s="175">
        <f>IFERROR(IF(A51="","",C51*E51),"")</f>
        <v/>
      </c>
      <c r="E51" s="176" t="n"/>
      <c r="F51" s="176" t="n"/>
      <c r="G51" s="175">
        <f>IFERROR(IF(A51="","",D51-F51),"")</f>
        <v/>
      </c>
      <c r="H51" s="177">
        <f>IFERROR(IF(A51="","",D51/$D$7*100),"")</f>
        <v/>
      </c>
      <c r="I51" s="178">
        <f>IFERROR(IF(A51="","",REPT("█",ROUND(D51/$D$7*20,0))),"")</f>
        <v/>
      </c>
    </row>
    <row r="52" ht="20" customHeight="1">
      <c r="A52" s="167" t="n"/>
      <c r="B52" s="167" t="n"/>
      <c r="C52" s="168" t="n"/>
      <c r="D52" s="169">
        <f>IFERROR(IF(A52="","",C52*E52),"")</f>
        <v/>
      </c>
      <c r="E52" s="170" t="n"/>
      <c r="F52" s="170" t="n"/>
      <c r="G52" s="169">
        <f>IFERROR(IF(A52="","",D52-F52),"")</f>
        <v/>
      </c>
      <c r="H52" s="171">
        <f>IFERROR(IF(A52="","",D52/$D$7*100),"")</f>
        <v/>
      </c>
      <c r="I52" s="172">
        <f>IFERROR(IF(A52="","",REPT("█",ROUND(D52/$D$7*20,0))),"")</f>
        <v/>
      </c>
    </row>
    <row r="53" ht="20" customHeight="1">
      <c r="A53" s="173" t="n"/>
      <c r="B53" s="173" t="n"/>
      <c r="C53" s="174" t="n"/>
      <c r="D53" s="175">
        <f>IFERROR(IF(A53="","",C53*E53),"")</f>
        <v/>
      </c>
      <c r="E53" s="176" t="n"/>
      <c r="F53" s="176" t="n"/>
      <c r="G53" s="175">
        <f>IFERROR(IF(A53="","",D53-F53),"")</f>
        <v/>
      </c>
      <c r="H53" s="177">
        <f>IFERROR(IF(A53="","",D53/$D$7*100),"")</f>
        <v/>
      </c>
      <c r="I53" s="178">
        <f>IFERROR(IF(A53="","",REPT("█",ROUND(D53/$D$7*20,0))),"")</f>
        <v/>
      </c>
    </row>
    <row r="54" ht="20" customHeight="1">
      <c r="A54" s="167" t="n"/>
      <c r="B54" s="167" t="n"/>
      <c r="C54" s="168" t="n"/>
      <c r="D54" s="169">
        <f>IFERROR(IF(A54="","",C54*E54),"")</f>
        <v/>
      </c>
      <c r="E54" s="170" t="n"/>
      <c r="F54" s="170" t="n"/>
      <c r="G54" s="169">
        <f>IFERROR(IF(A54="","",D54-F54),"")</f>
        <v/>
      </c>
      <c r="H54" s="171">
        <f>IFERROR(IF(A54="","",D54/$D$7*100),"")</f>
        <v/>
      </c>
      <c r="I54" s="172">
        <f>IFERROR(IF(A54="","",REPT("█",ROUND(D54/$D$7*20,0))),"")</f>
        <v/>
      </c>
    </row>
    <row r="55" ht="20" customHeight="1">
      <c r="A55" s="173" t="n"/>
      <c r="B55" s="173" t="n"/>
      <c r="C55" s="174" t="n"/>
      <c r="D55" s="175">
        <f>IFERROR(IF(A55="","",C55*E55),"")</f>
        <v/>
      </c>
      <c r="E55" s="176" t="n"/>
      <c r="F55" s="176" t="n"/>
      <c r="G55" s="175">
        <f>IFERROR(IF(A55="","",D55-F55),"")</f>
        <v/>
      </c>
      <c r="H55" s="177">
        <f>IFERROR(IF(A55="","",D55/$D$7*100),"")</f>
        <v/>
      </c>
      <c r="I55" s="178">
        <f>IFERROR(IF(A55="","",REPT("█",ROUND(D55/$D$7*20,0))),"")</f>
        <v/>
      </c>
    </row>
    <row r="56" ht="20" customHeight="1">
      <c r="A56" s="167" t="n"/>
      <c r="B56" s="167" t="n"/>
      <c r="C56" s="168" t="n"/>
      <c r="D56" s="169">
        <f>IFERROR(IF(A56="","",C56*E56),"")</f>
        <v/>
      </c>
      <c r="E56" s="170" t="n"/>
      <c r="F56" s="170" t="n"/>
      <c r="G56" s="169">
        <f>IFERROR(IF(A56="","",D56-F56),"")</f>
        <v/>
      </c>
      <c r="H56" s="171">
        <f>IFERROR(IF(A56="","",D56/$D$7*100),"")</f>
        <v/>
      </c>
      <c r="I56" s="172">
        <f>IFERROR(IF(A56="","",REPT("█",ROUND(D56/$D$7*20,0))),"")</f>
        <v/>
      </c>
    </row>
    <row r="57" ht="20" customHeight="1">
      <c r="A57" s="173" t="n"/>
      <c r="B57" s="173" t="n"/>
      <c r="C57" s="174" t="n"/>
      <c r="D57" s="175">
        <f>IFERROR(IF(A57="","",C57*E57),"")</f>
        <v/>
      </c>
      <c r="E57" s="176" t="n"/>
      <c r="F57" s="176" t="n"/>
      <c r="G57" s="175">
        <f>IFERROR(IF(A57="","",D57-F57),"")</f>
        <v/>
      </c>
      <c r="H57" s="177">
        <f>IFERROR(IF(A57="","",D57/$D$7*100),"")</f>
        <v/>
      </c>
      <c r="I57" s="178">
        <f>IFERROR(IF(A57="","",REPT("█",ROUND(D57/$D$7*20,0))),"")</f>
        <v/>
      </c>
    </row>
    <row r="58" ht="24" customHeight="1">
      <c r="A58" s="179" t="inlineStr">
        <is>
          <t>TOTAL</t>
        </is>
      </c>
      <c r="B58" s="180" t="n"/>
      <c r="C58" s="180" t="n"/>
      <c r="D58" s="181">
        <f>SUM(D8:D57)</f>
        <v/>
      </c>
      <c r="E58" s="180" t="n"/>
      <c r="F58" s="181">
        <f>SUM(F8:F57)</f>
        <v/>
      </c>
      <c r="G58" s="181">
        <f>SUM(G8:G57)</f>
        <v/>
      </c>
      <c r="H58" s="180" t="n"/>
      <c r="I58" s="180" t="n"/>
    </row>
  </sheetData>
  <mergeCells count="2">
    <mergeCell ref="A2:H2"/>
    <mergeCell ref="A1:H1"/>
  </mergeCells>
  <conditionalFormatting sqref="G8:G57">
    <cfRule type="cellIs" priority="1" operator="greaterThan" dxfId="74">
      <formula>0</formula>
    </cfRule>
    <cfRule type="cellIs" priority="2" operator="lessThan" dxfId="75">
      <formula>0</formula>
    </cfRule>
    <cfRule type="cellIs" priority="3" operator="equal" dxfId="76">
      <formula>0</formula>
    </cfRule>
  </conditionalFormatting>
  <conditionalFormatting sqref="H8:H57">
    <cfRule type="dataBar" priority="4">
      <dataBar>
        <cfvo type="min" val="0"/>
        <cfvo type="max"/>
        <color rgb="00F59E0B"/>
      </dataBar>
    </cfRule>
  </conditionalFormatting>
  <conditionalFormatting sqref="I8:I57">
    <cfRule type="colorScale" priority="5">
      <colorScale>
        <cfvo type="min"/>
        <cfvo type="max"/>
        <color rgb="001E3A5F"/>
        <color rgb="003B82F6"/>
      </colorScale>
    </cfRule>
  </conditionalFormatting>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j14kim@outlook.com</dc:creator>
  <dcterms:created xsi:type="dcterms:W3CDTF">2025-05-03T21:03:01Z</dcterms:created>
  <dcterms:modified xsi:type="dcterms:W3CDTF">2026-06-26T19:50:32Z</dcterms:modified>
  <cp:lastModifiedBy>Justin Kim</cp:lastModifiedBy>
</cp:coreProperties>
</file>